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itc\OneDrive\Documents\"/>
    </mc:Choice>
  </mc:AlternateContent>
  <xr:revisionPtr revIDLastSave="0" documentId="13_ncr:1_{3BA29082-43CD-490D-B188-23885FD175F7}" xr6:coauthVersionLast="47" xr6:coauthVersionMax="47" xr10:uidLastSave="{00000000-0000-0000-0000-000000000000}"/>
  <bookViews>
    <workbookView xWindow="-120" yWindow="-120" windowWidth="29040" windowHeight="15720" xr2:uid="{A780BD9D-1457-47F7-8CD1-3F4DE187E6D6}"/>
  </bookViews>
  <sheets>
    <sheet name="Tabu Searc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4" i="2" l="1"/>
  <c r="M154" i="2"/>
  <c r="K154" i="2"/>
  <c r="I154" i="2"/>
  <c r="G154" i="2"/>
  <c r="E154" i="2"/>
  <c r="T126" i="2"/>
  <c r="O139" i="2"/>
  <c r="M139" i="2"/>
  <c r="K139" i="2"/>
  <c r="I139" i="2"/>
  <c r="G139" i="2"/>
  <c r="E139" i="2"/>
  <c r="R135" i="2"/>
  <c r="P135" i="2"/>
  <c r="N135" i="2"/>
  <c r="L135" i="2"/>
  <c r="J135" i="2"/>
  <c r="H135" i="2"/>
  <c r="R132" i="2"/>
  <c r="P132" i="2"/>
  <c r="N132" i="2"/>
  <c r="L132" i="2"/>
  <c r="J132" i="2"/>
  <c r="H132" i="2"/>
  <c r="R129" i="2"/>
  <c r="P129" i="2"/>
  <c r="N129" i="2"/>
  <c r="L129" i="2"/>
  <c r="J129" i="2"/>
  <c r="H129" i="2"/>
  <c r="R126" i="2"/>
  <c r="P126" i="2"/>
  <c r="N126" i="2"/>
  <c r="L126" i="2"/>
  <c r="J126" i="2"/>
  <c r="H126" i="2"/>
  <c r="R123" i="2"/>
  <c r="P123" i="2"/>
  <c r="N123" i="2"/>
  <c r="L123" i="2"/>
  <c r="J123" i="2"/>
  <c r="T123" i="2" s="1"/>
  <c r="H123" i="2"/>
  <c r="R120" i="2"/>
  <c r="P120" i="2"/>
  <c r="N120" i="2"/>
  <c r="L120" i="2"/>
  <c r="J120" i="2"/>
  <c r="H120" i="2"/>
  <c r="R117" i="2"/>
  <c r="P117" i="2"/>
  <c r="N117" i="2"/>
  <c r="L117" i="2"/>
  <c r="J117" i="2"/>
  <c r="H117" i="2"/>
  <c r="R114" i="2"/>
  <c r="P114" i="2"/>
  <c r="N114" i="2"/>
  <c r="L114" i="2"/>
  <c r="J114" i="2"/>
  <c r="H114" i="2"/>
  <c r="R111" i="2"/>
  <c r="P111" i="2"/>
  <c r="N111" i="2"/>
  <c r="L111" i="2"/>
  <c r="J111" i="2"/>
  <c r="H111" i="2"/>
  <c r="O101" i="2"/>
  <c r="M101" i="2"/>
  <c r="Q101" i="2" s="1"/>
  <c r="K101" i="2"/>
  <c r="I101" i="2"/>
  <c r="G101" i="2"/>
  <c r="E101" i="2"/>
  <c r="R97" i="2"/>
  <c r="P97" i="2"/>
  <c r="N97" i="2"/>
  <c r="L97" i="2"/>
  <c r="J97" i="2"/>
  <c r="H97" i="2"/>
  <c r="R94" i="2"/>
  <c r="P94" i="2"/>
  <c r="N94" i="2"/>
  <c r="L94" i="2"/>
  <c r="J94" i="2"/>
  <c r="H94" i="2"/>
  <c r="R91" i="2"/>
  <c r="P91" i="2"/>
  <c r="N91" i="2"/>
  <c r="L91" i="2"/>
  <c r="J91" i="2"/>
  <c r="H91" i="2"/>
  <c r="R88" i="2"/>
  <c r="P88" i="2"/>
  <c r="N88" i="2"/>
  <c r="L88" i="2"/>
  <c r="J88" i="2"/>
  <c r="H88" i="2"/>
  <c r="R85" i="2"/>
  <c r="P85" i="2"/>
  <c r="N85" i="2"/>
  <c r="L85" i="2"/>
  <c r="J85" i="2"/>
  <c r="H85" i="2"/>
  <c r="R82" i="2"/>
  <c r="P82" i="2"/>
  <c r="N82" i="2"/>
  <c r="L82" i="2"/>
  <c r="J82" i="2"/>
  <c r="H82" i="2"/>
  <c r="R79" i="2"/>
  <c r="P79" i="2"/>
  <c r="N79" i="2"/>
  <c r="T79" i="2" s="1"/>
  <c r="L79" i="2"/>
  <c r="J79" i="2"/>
  <c r="H79" i="2"/>
  <c r="R76" i="2"/>
  <c r="P76" i="2"/>
  <c r="N76" i="2"/>
  <c r="L76" i="2"/>
  <c r="J76" i="2"/>
  <c r="H76" i="2"/>
  <c r="R73" i="2"/>
  <c r="P73" i="2"/>
  <c r="N73" i="2"/>
  <c r="L73" i="2"/>
  <c r="J73" i="2"/>
  <c r="H73" i="2"/>
  <c r="T97" i="2"/>
  <c r="O65" i="2"/>
  <c r="M65" i="2"/>
  <c r="K65" i="2"/>
  <c r="I65" i="2"/>
  <c r="G65" i="2"/>
  <c r="E65" i="2"/>
  <c r="Q65" i="2" s="1"/>
  <c r="R61" i="2"/>
  <c r="P61" i="2"/>
  <c r="N61" i="2"/>
  <c r="L61" i="2"/>
  <c r="J61" i="2"/>
  <c r="H61" i="2"/>
  <c r="R58" i="2"/>
  <c r="P58" i="2"/>
  <c r="N58" i="2"/>
  <c r="L58" i="2"/>
  <c r="J58" i="2"/>
  <c r="H58" i="2"/>
  <c r="R55" i="2"/>
  <c r="P55" i="2"/>
  <c r="N55" i="2"/>
  <c r="L55" i="2"/>
  <c r="J55" i="2"/>
  <c r="H55" i="2"/>
  <c r="R52" i="2"/>
  <c r="P52" i="2"/>
  <c r="N52" i="2"/>
  <c r="L52" i="2"/>
  <c r="J52" i="2"/>
  <c r="H52" i="2"/>
  <c r="R49" i="2"/>
  <c r="P49" i="2"/>
  <c r="N49" i="2"/>
  <c r="L49" i="2"/>
  <c r="T49" i="2" s="1"/>
  <c r="J49" i="2"/>
  <c r="H49" i="2"/>
  <c r="R43" i="2"/>
  <c r="P43" i="2"/>
  <c r="N43" i="2"/>
  <c r="L43" i="2"/>
  <c r="J43" i="2"/>
  <c r="H43" i="2"/>
  <c r="T43" i="2" s="1"/>
  <c r="R40" i="2"/>
  <c r="P40" i="2"/>
  <c r="N40" i="2"/>
  <c r="L40" i="2"/>
  <c r="J40" i="2"/>
  <c r="H40" i="2"/>
  <c r="T40" i="2" s="1"/>
  <c r="R37" i="2"/>
  <c r="P37" i="2"/>
  <c r="N37" i="2"/>
  <c r="L37" i="2"/>
  <c r="J37" i="2"/>
  <c r="H37" i="2"/>
  <c r="T37" i="2" s="1"/>
  <c r="H46" i="2"/>
  <c r="T46" i="2" s="1"/>
  <c r="J46" i="2"/>
  <c r="L46" i="2"/>
  <c r="N46" i="2"/>
  <c r="P46" i="2"/>
  <c r="R46" i="2"/>
  <c r="Q154" i="2" l="1"/>
  <c r="Q139" i="2"/>
  <c r="T135" i="2"/>
  <c r="T132" i="2"/>
  <c r="T129" i="2"/>
  <c r="T120" i="2"/>
  <c r="T117" i="2"/>
  <c r="T114" i="2"/>
  <c r="T111" i="2"/>
  <c r="T94" i="2"/>
  <c r="T91" i="2"/>
  <c r="T88" i="2"/>
  <c r="T85" i="2"/>
  <c r="T82" i="2"/>
  <c r="T76" i="2"/>
  <c r="T73" i="2"/>
  <c r="T52" i="2"/>
  <c r="T55" i="2"/>
  <c r="H20" i="2" l="1" a="1"/>
  <c r="H20" i="2" s="1"/>
  <c r="G20" i="2" a="1"/>
  <c r="G20" i="2" s="1"/>
  <c r="F20" i="2" a="1"/>
  <c r="F20" i="2" s="1"/>
  <c r="E20" i="2" a="1"/>
  <c r="E20" i="2" s="1"/>
  <c r="D20" i="2" a="1"/>
  <c r="D20" i="2" s="1"/>
  <c r="C20" i="2" a="1"/>
  <c r="C20" i="2" s="1"/>
  <c r="H19" i="2" a="1"/>
  <c r="H19" i="2" s="1"/>
  <c r="G19" i="2" a="1"/>
  <c r="G19" i="2" s="1"/>
  <c r="F19" i="2" a="1"/>
  <c r="F19" i="2" s="1"/>
  <c r="E19" i="2" a="1"/>
  <c r="E19" i="2" s="1"/>
  <c r="D19" i="2" a="1"/>
  <c r="D19" i="2" s="1"/>
  <c r="C19" i="2" a="1"/>
  <c r="C19" i="2" s="1"/>
  <c r="H18" i="2" a="1"/>
  <c r="H18" i="2" s="1"/>
  <c r="G18" i="2" a="1"/>
  <c r="G18" i="2" s="1"/>
  <c r="F18" i="2" a="1"/>
  <c r="F18" i="2" s="1"/>
  <c r="E18" i="2" a="1"/>
  <c r="E18" i="2" s="1"/>
  <c r="D18" i="2" a="1"/>
  <c r="D18" i="2" s="1"/>
  <c r="C18" i="2" a="1"/>
  <c r="C18" i="2" s="1"/>
  <c r="H17" i="2" a="1"/>
  <c r="H17" i="2" s="1"/>
  <c r="G17" i="2" a="1"/>
  <c r="G17" i="2" s="1"/>
  <c r="F17" i="2" a="1"/>
  <c r="F17" i="2" s="1"/>
  <c r="E17" i="2" a="1"/>
  <c r="E17" i="2" s="1"/>
  <c r="D17" i="2" a="1"/>
  <c r="D17" i="2" s="1"/>
  <c r="C17" i="2" a="1"/>
  <c r="C17" i="2" s="1"/>
  <c r="H16" i="2" a="1"/>
  <c r="H16" i="2" s="1"/>
  <c r="G16" i="2" a="1"/>
  <c r="G16" i="2" s="1"/>
  <c r="F16" i="2" a="1"/>
  <c r="F16" i="2" s="1"/>
  <c r="E16" i="2" a="1"/>
  <c r="E16" i="2" s="1"/>
  <c r="D16" i="2" a="1"/>
  <c r="D16" i="2" s="1"/>
  <c r="C16" i="2" a="1"/>
  <c r="C16" i="2" s="1"/>
  <c r="H15" i="2" a="1"/>
  <c r="H15" i="2" s="1"/>
  <c r="G15" i="2" a="1"/>
  <c r="G15" i="2" s="1"/>
  <c r="F15" i="2" a="1"/>
  <c r="F15" i="2" s="1"/>
  <c r="E15" i="2" a="1"/>
  <c r="E15" i="2" s="1"/>
  <c r="D15" i="2" a="1"/>
  <c r="D15" i="2" s="1"/>
  <c r="C15" i="2" a="1"/>
  <c r="C15" i="2" s="1"/>
  <c r="T61" i="2" l="1"/>
  <c r="T58" i="2"/>
  <c r="E25" i="2"/>
  <c r="G25" i="2"/>
  <c r="I25" i="2"/>
  <c r="K25" i="2"/>
  <c r="M25" i="2"/>
  <c r="O25" i="2"/>
  <c r="E32" i="2"/>
  <c r="G32" i="2"/>
  <c r="I32" i="2"/>
  <c r="K32" i="2"/>
  <c r="M32" i="2"/>
  <c r="O32" i="2"/>
  <c r="Q25" i="2" l="1"/>
  <c r="Q3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<sst xmlns="http://schemas.openxmlformats.org/spreadsheetml/2006/main" count="444" uniqueCount="57">
  <si>
    <t>Euclidean distance</t>
  </si>
  <si>
    <t>Kota</t>
  </si>
  <si>
    <t>X</t>
  </si>
  <si>
    <t>Y</t>
  </si>
  <si>
    <t>buat matriks jarak antar kota</t>
  </si>
  <si>
    <t>Diasumsikan simetrik (1 ke 2 jarakmya sama dengan 2 ke 1)</t>
  </si>
  <si>
    <t>Route</t>
  </si>
  <si>
    <t>Distance</t>
  </si>
  <si>
    <t>→</t>
  </si>
  <si>
    <t>Total distance</t>
  </si>
  <si>
    <t>2-OPT</t>
  </si>
  <si>
    <t>Tabu Search</t>
  </si>
  <si>
    <t>Tabu List Size</t>
  </si>
  <si>
    <t>Tabu Tenure</t>
  </si>
  <si>
    <t>Max Iter</t>
  </si>
  <si>
    <t>Tabu active</t>
  </si>
  <si>
    <t>Arc</t>
  </si>
  <si>
    <t>(4,3)</t>
  </si>
  <si>
    <t>Tenure</t>
  </si>
  <si>
    <t>Cut</t>
  </si>
  <si>
    <t>Add</t>
  </si>
  <si>
    <t>(2,4)</t>
  </si>
  <si>
    <t>(5,3)</t>
  </si>
  <si>
    <t>(4,2)</t>
  </si>
  <si>
    <t>(3,6)</t>
  </si>
  <si>
    <t>(2,6)</t>
  </si>
  <si>
    <t>(2,5)</t>
  </si>
  <si>
    <t>(6,1)</t>
  </si>
  <si>
    <t>(5,1)</t>
  </si>
  <si>
    <t>(1,4)</t>
  </si>
  <si>
    <t>(3,4)</t>
  </si>
  <si>
    <t>(4,6)</t>
  </si>
  <si>
    <t>(2,1)</t>
  </si>
  <si>
    <t>(5,6)</t>
  </si>
  <si>
    <t>(3,1)</t>
  </si>
  <si>
    <t>(4,1)</t>
  </si>
  <si>
    <t>(5,4)</t>
  </si>
  <si>
    <t>(1,2)</t>
  </si>
  <si>
    <t>(4,5)</t>
  </si>
  <si>
    <t>(2,3)</t>
  </si>
  <si>
    <t>Iterasi 1</t>
  </si>
  <si>
    <t>(1,5)</t>
  </si>
  <si>
    <t>(1,3)</t>
  </si>
  <si>
    <t>&lt;- best</t>
  </si>
  <si>
    <t>(6,5)</t>
  </si>
  <si>
    <t>Chosen Best</t>
  </si>
  <si>
    <t>Iterasi 2</t>
  </si>
  <si>
    <t>(5,2)</t>
  </si>
  <si>
    <t>(1,6)</t>
  </si>
  <si>
    <t>(3,5)</t>
  </si>
  <si>
    <t>Tabu</t>
  </si>
  <si>
    <t>Iterasi 3</t>
  </si>
  <si>
    <t>(6,2)</t>
  </si>
  <si>
    <t>(3,2)</t>
  </si>
  <si>
    <t>Iterasi 4</t>
  </si>
  <si>
    <t>…</t>
  </si>
  <si>
    <t>Final Best (Menggunakan program)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</si>
</sst>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0" borderId="0" xfId="0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'Tabu Search'!$D$2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'Tabu Search'!$C$3:$C$8</c:f>
              <c:numCache>
                <c:formatCode>General</c:formatCode>
                <c:ptCount val="6"/>
                <c:pt idx="0">
                  <c:v>2</c:v>
                </c:pt>
                <c:pt idx="1">
                  <c:v>652</c:v>
                </c:pt>
                <c:pt idx="2">
                  <c:v>99</c:v>
                </c:pt>
                <c:pt idx="3">
                  <c:v>681</c:v>
                </c:pt>
                <c:pt idx="4">
                  <c:v>501</c:v>
                </c:pt>
                <c:pt idx="5">
                  <c:v>188</c:v>
                </c:pt>
              </c:numCache>
            </c:numRef>
          </c:xVal>
          <c:yVal>
            <c:numRef>
              <c:f>'Tabu Search'!$D$3:$D$8</c:f>
              <c:numCache>
                <c:formatCode>General</c:formatCode>
                <c:ptCount val="6"/>
                <c:pt idx="0">
                  <c:v>33</c:v>
                </c:pt>
                <c:pt idx="1">
                  <c:v>32</c:v>
                </c:pt>
                <c:pt idx="2">
                  <c:v>368</c:v>
                </c:pt>
                <c:pt idx="3">
                  <c:v>195</c:v>
                </c:pt>
                <c:pt idx="4">
                  <c:v>106</c:v>
                </c:pt>
                <c:pt idx="5">
                  <c:v>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91-44B1-BA44-056AB99F8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442048"/>
        <c:axId val="590808720"/>
      </c:scatterChart>
      <c:valAx>
        <c:axId val="59744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808720"/>
        <c:crosses val="autoZero"/>
        <c:crossBetween val="midCat"/>
      </c:valAx>
      <c:valAx>
        <c:axId val="59080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44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1</xdr:row>
      <xdr:rowOff>76200</xdr:rowOff>
    </xdr:from>
    <xdr:to>
      <xdr:col>14</xdr:col>
      <xdr:colOff>114300</xdr:colOff>
      <xdr:row>10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CC6178-3AF5-4C05-A346-047316DBC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66015</xdr:colOff>
      <xdr:row>154</xdr:row>
      <xdr:rowOff>141461</xdr:rowOff>
    </xdr:from>
    <xdr:to>
      <xdr:col>23</xdr:col>
      <xdr:colOff>21784</xdr:colOff>
      <xdr:row>163</xdr:row>
      <xdr:rowOff>15781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D63A3C-B1BB-6D69-408C-DE2435695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17822" y="29187996"/>
          <a:ext cx="4048690" cy="1571844"/>
        </a:xfrm>
        <a:prstGeom prst="rect">
          <a:avLst/>
        </a:prstGeom>
      </xdr:spPr>
    </xdr:pic>
    <xdr:clientData/>
  </xdr:twoCellAnchor>
  <xdr:twoCellAnchor editAs="oneCell">
    <xdr:from>
      <xdr:col>1</xdr:col>
      <xdr:colOff>66015</xdr:colOff>
      <xdr:row>154</xdr:row>
      <xdr:rowOff>122598</xdr:rowOff>
    </xdr:from>
    <xdr:to>
      <xdr:col>8</xdr:col>
      <xdr:colOff>277295</xdr:colOff>
      <xdr:row>167</xdr:row>
      <xdr:rowOff>90306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80F3A3-18B2-308C-FA58-DAC8E0602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9010" y="29169133"/>
          <a:ext cx="2257740" cy="2419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754D-8215-4FE9-8B98-69DCB9655940}">
  <dimension ref="B2:V154"/>
  <sheetViews>
    <sheetView tabSelected="1" topLeftCell="A131" zoomScale="101" workbookViewId="0">
      <selection activeCell="AD149" sqref="AD149"/>
    </sheetView>
  </sheetViews>
  <sheetFormatPr defaultRowHeight="15" x14ac:dyDescent="0.25"/>
  <cols>
    <col min="2" max="42" width="4.42578125" customWidth="1"/>
  </cols>
  <sheetData>
    <row r="2" spans="2:17" x14ac:dyDescent="0.25">
      <c r="B2" t="s">
        <v>1</v>
      </c>
      <c r="C2" t="s">
        <v>2</v>
      </c>
      <c r="D2" t="s">
        <v>3</v>
      </c>
      <c r="Q2" s="3"/>
    </row>
    <row r="3" spans="2:17" x14ac:dyDescent="0.25">
      <c r="B3">
        <v>1</v>
      </c>
      <c r="C3">
        <v>2</v>
      </c>
      <c r="D3">
        <v>33</v>
      </c>
    </row>
    <row r="4" spans="2:17" x14ac:dyDescent="0.25">
      <c r="B4">
        <v>2</v>
      </c>
      <c r="C4">
        <v>652</v>
      </c>
      <c r="D4">
        <v>32</v>
      </c>
    </row>
    <row r="5" spans="2:17" x14ac:dyDescent="0.25">
      <c r="B5">
        <v>3</v>
      </c>
      <c r="C5">
        <v>99</v>
      </c>
      <c r="D5">
        <v>368</v>
      </c>
    </row>
    <row r="6" spans="2:17" x14ac:dyDescent="0.25">
      <c r="B6">
        <v>4</v>
      </c>
      <c r="C6">
        <v>681</v>
      </c>
      <c r="D6">
        <v>195</v>
      </c>
    </row>
    <row r="7" spans="2:17" x14ac:dyDescent="0.25">
      <c r="B7">
        <v>5</v>
      </c>
      <c r="C7">
        <v>501</v>
      </c>
      <c r="D7">
        <v>106</v>
      </c>
    </row>
    <row r="8" spans="2:17" x14ac:dyDescent="0.25">
      <c r="B8">
        <v>6</v>
      </c>
      <c r="C8">
        <v>188</v>
      </c>
      <c r="D8">
        <v>664</v>
      </c>
    </row>
    <row r="11" spans="2:17" x14ac:dyDescent="0.25">
      <c r="B11" t="s">
        <v>0</v>
      </c>
    </row>
    <row r="12" spans="2:17" x14ac:dyDescent="0.25">
      <c r="B12" t="s">
        <v>5</v>
      </c>
    </row>
    <row r="13" spans="2:17" x14ac:dyDescent="0.25">
      <c r="B13" t="s">
        <v>4</v>
      </c>
    </row>
    <row r="14" spans="2:17" x14ac:dyDescent="0.25"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</row>
    <row r="15" spans="2:17" x14ac:dyDescent="0.25">
      <c r="B15">
        <v>1</v>
      </c>
      <c r="C15" cm="1">
        <f t="array" ref="C15">SQRT((SUM((INDEX($C$3:$D$8,MATCH($B15,$B$3:$B$8,0),)-INDEX($C$3:$D$8,MATCH(C$14,$B$3:$B$8,0),))^2)))</f>
        <v>0</v>
      </c>
      <c r="D15" cm="1">
        <f t="array" ref="D15">SQRT((SUM((INDEX($C$3:$D$8,MATCH($B15,$B$3:$B$8,0),)-INDEX($C$3:$D$8,MATCH(D$14,$B$3:$B$8,0),))^2)))</f>
        <v>650.00076923031406</v>
      </c>
      <c r="E15" cm="1">
        <f t="array" ref="E15">SQRT((SUM((INDEX($C$3:$D$8,MATCH($B15,$B$3:$B$8,0),)-INDEX($C$3:$D$8,MATCH(E$14,$B$3:$B$8,0),))^2)))</f>
        <v>348.76066291942959</v>
      </c>
      <c r="F15" cm="1">
        <f t="array" ref="F15">SQRT((SUM((INDEX($C$3:$D$8,MATCH($B15,$B$3:$B$8,0),)-INDEX($C$3:$D$8,MATCH(F$14,$B$3:$B$8,0),))^2)))</f>
        <v>698.05802051118928</v>
      </c>
      <c r="G15" cm="1">
        <f t="array" ref="G15">SQRT((SUM((INDEX($C$3:$D$8,MATCH($B15,$B$3:$B$8,0),)-INDEX($C$3:$D$8,MATCH(G$14,$B$3:$B$8,0),))^2)))</f>
        <v>504.31141172890386</v>
      </c>
      <c r="H15" cm="1">
        <f t="array" ref="H15">SQRT((SUM((INDEX($C$3:$D$8,MATCH($B15,$B$3:$B$8,0),)-INDEX($C$3:$D$8,MATCH(H$14,$B$3:$B$8,0),))^2)))</f>
        <v>657.8426863620208</v>
      </c>
    </row>
    <row r="16" spans="2:17" x14ac:dyDescent="0.25">
      <c r="B16">
        <v>2</v>
      </c>
      <c r="C16" cm="1">
        <f t="array" ref="C16">SQRT((SUM((INDEX($C$3:$D$8,MATCH($B16,$B$3:$B$8,0),)-INDEX($C$3:$D$8,MATCH(C$14,$B$3:$B$8,0),))^2)))</f>
        <v>650.00076923031406</v>
      </c>
      <c r="D16" cm="1">
        <f t="array" ref="D16">SQRT((SUM((INDEX($C$3:$D$8,MATCH($B16,$B$3:$B$8,0),)-INDEX($C$3:$D$8,MATCH(D$14,$B$3:$B$8,0),))^2)))</f>
        <v>0</v>
      </c>
      <c r="E16" cm="1">
        <f t="array" ref="E16">SQRT((SUM((INDEX($C$3:$D$8,MATCH($B16,$B$3:$B$8,0),)-INDEX($C$3:$D$8,MATCH(E$14,$B$3:$B$8,0),))^2)))</f>
        <v>647.07418430965083</v>
      </c>
      <c r="F16" cm="1">
        <f t="array" ref="F16">SQRT((SUM((INDEX($C$3:$D$8,MATCH($B16,$B$3:$B$8,0),)-INDEX($C$3:$D$8,MATCH(F$14,$B$3:$B$8,0),))^2)))</f>
        <v>165.55965692160635</v>
      </c>
      <c r="G16" cm="1">
        <f t="array" ref="G16">SQRT((SUM((INDEX($C$3:$D$8,MATCH($B16,$B$3:$B$8,0),)-INDEX($C$3:$D$8,MATCH(G$14,$B$3:$B$8,0),))^2)))</f>
        <v>168.15766411317682</v>
      </c>
      <c r="H16" cm="1">
        <f t="array" ref="H16">SQRT((SUM((INDEX($C$3:$D$8,MATCH($B16,$B$3:$B$8,0),)-INDEX($C$3:$D$8,MATCH(H$14,$B$3:$B$8,0),))^2)))</f>
        <v>784.04081526410346</v>
      </c>
    </row>
    <row r="17" spans="2:19" x14ac:dyDescent="0.25">
      <c r="B17">
        <v>3</v>
      </c>
      <c r="C17" cm="1">
        <f t="array" ref="C17">SQRT((SUM((INDEX($C$3:$D$8,MATCH($B17,$B$3:$B$8,0),)-INDEX($C$3:$D$8,MATCH(C$14,$B$3:$B$8,0),))^2)))</f>
        <v>348.76066291942959</v>
      </c>
      <c r="D17" cm="1">
        <f t="array" ref="D17">SQRT((SUM((INDEX($C$3:$D$8,MATCH($B17,$B$3:$B$8,0),)-INDEX($C$3:$D$8,MATCH(D$14,$B$3:$B$8,0),))^2)))</f>
        <v>647.07418430965083</v>
      </c>
      <c r="E17" cm="1">
        <f t="array" ref="E17">SQRT((SUM((INDEX($C$3:$D$8,MATCH($B17,$B$3:$B$8,0),)-INDEX($C$3:$D$8,MATCH(E$14,$B$3:$B$8,0),))^2)))</f>
        <v>0</v>
      </c>
      <c r="F17" cm="1">
        <f t="array" ref="F17">SQRT((SUM((INDEX($C$3:$D$8,MATCH($B17,$B$3:$B$8,0),)-INDEX($C$3:$D$8,MATCH(F$14,$B$3:$B$8,0),))^2)))</f>
        <v>607.16801628544306</v>
      </c>
      <c r="G17" cm="1">
        <f t="array" ref="G17">SQRT((SUM((INDEX($C$3:$D$8,MATCH($B17,$B$3:$B$8,0),)-INDEX($C$3:$D$8,MATCH(G$14,$B$3:$B$8,0),))^2)))</f>
        <v>479.84164054404448</v>
      </c>
      <c r="H17" cm="1">
        <f t="array" ref="H17">SQRT((SUM((INDEX($C$3:$D$8,MATCH($B17,$B$3:$B$8,0),)-INDEX($C$3:$D$8,MATCH(H$14,$B$3:$B$8,0),))^2)))</f>
        <v>309.09060160412514</v>
      </c>
    </row>
    <row r="18" spans="2:19" x14ac:dyDescent="0.25">
      <c r="B18">
        <v>4</v>
      </c>
      <c r="C18" cm="1">
        <f t="array" ref="C18">SQRT((SUM((INDEX($C$3:$D$8,MATCH($B18,$B$3:$B$8,0),)-INDEX($C$3:$D$8,MATCH(C$14,$B$3:$B$8,0),))^2)))</f>
        <v>698.05802051118928</v>
      </c>
      <c r="D18" cm="1">
        <f t="array" ref="D18">SQRT((SUM((INDEX($C$3:$D$8,MATCH($B18,$B$3:$B$8,0),)-INDEX($C$3:$D$8,MATCH(D$14,$B$3:$B$8,0),))^2)))</f>
        <v>165.55965692160635</v>
      </c>
      <c r="E18" cm="1">
        <f t="array" ref="E18">SQRT((SUM((INDEX($C$3:$D$8,MATCH($B18,$B$3:$B$8,0),)-INDEX($C$3:$D$8,MATCH(E$14,$B$3:$B$8,0),))^2)))</f>
        <v>607.16801628544306</v>
      </c>
      <c r="F18" cm="1">
        <f t="array" ref="F18">SQRT((SUM((INDEX($C$3:$D$8,MATCH($B18,$B$3:$B$8,0),)-INDEX($C$3:$D$8,MATCH(F$14,$B$3:$B$8,0),))^2)))</f>
        <v>0</v>
      </c>
      <c r="G18" cm="1">
        <f t="array" ref="G18">SQRT((SUM((INDEX($C$3:$D$8,MATCH($B18,$B$3:$B$8,0),)-INDEX($C$3:$D$8,MATCH(G$14,$B$3:$B$8,0),))^2)))</f>
        <v>200.80089641234176</v>
      </c>
      <c r="H18" cm="1">
        <f t="array" ref="H18">SQRT((SUM((INDEX($C$3:$D$8,MATCH($B18,$B$3:$B$8,0),)-INDEX($C$3:$D$8,MATCH(H$14,$B$3:$B$8,0),))^2)))</f>
        <v>680.44838158379071</v>
      </c>
    </row>
    <row r="19" spans="2:19" x14ac:dyDescent="0.25">
      <c r="B19">
        <v>5</v>
      </c>
      <c r="C19" cm="1">
        <f t="array" ref="C19">SQRT((SUM((INDEX($C$3:$D$8,MATCH($B19,$B$3:$B$8,0),)-INDEX($C$3:$D$8,MATCH(C$14,$B$3:$B$8,0),))^2)))</f>
        <v>504.31141172890386</v>
      </c>
      <c r="D19" cm="1">
        <f t="array" ref="D19">SQRT((SUM((INDEX($C$3:$D$8,MATCH($B19,$B$3:$B$8,0),)-INDEX($C$3:$D$8,MATCH(D$14,$B$3:$B$8,0),))^2)))</f>
        <v>168.15766411317682</v>
      </c>
      <c r="E19" cm="1">
        <f t="array" ref="E19">SQRT((SUM((INDEX($C$3:$D$8,MATCH($B19,$B$3:$B$8,0),)-INDEX($C$3:$D$8,MATCH(E$14,$B$3:$B$8,0),))^2)))</f>
        <v>479.84164054404448</v>
      </c>
      <c r="F19" cm="1">
        <f t="array" ref="F19">SQRT((SUM((INDEX($C$3:$D$8,MATCH($B19,$B$3:$B$8,0),)-INDEX($C$3:$D$8,MATCH(F$14,$B$3:$B$8,0),))^2)))</f>
        <v>200.80089641234176</v>
      </c>
      <c r="G19" cm="1">
        <f t="array" ref="G19">SQRT((SUM((INDEX($C$3:$D$8,MATCH($B19,$B$3:$B$8,0),)-INDEX($C$3:$D$8,MATCH(G$14,$B$3:$B$8,0),))^2)))</f>
        <v>0</v>
      </c>
      <c r="H19" cm="1">
        <f t="array" ref="H19">SQRT((SUM((INDEX($C$3:$D$8,MATCH($B19,$B$3:$B$8,0),)-INDEX($C$3:$D$8,MATCH(H$14,$B$3:$B$8,0),))^2)))</f>
        <v>639.79137224567194</v>
      </c>
    </row>
    <row r="20" spans="2:19" x14ac:dyDescent="0.25">
      <c r="B20">
        <v>6</v>
      </c>
      <c r="C20" cm="1">
        <f t="array" ref="C20">SQRT((SUM((INDEX($C$3:$D$8,MATCH($B20,$B$3:$B$8,0),)-INDEX($C$3:$D$8,MATCH(C$14,$B$3:$B$8,0),))^2)))</f>
        <v>657.8426863620208</v>
      </c>
      <c r="D20" cm="1">
        <f t="array" ref="D20">SQRT((SUM((INDEX($C$3:$D$8,MATCH($B20,$B$3:$B$8,0),)-INDEX($C$3:$D$8,MATCH(D$14,$B$3:$B$8,0),))^2)))</f>
        <v>784.04081526410346</v>
      </c>
      <c r="E20" cm="1">
        <f t="array" ref="E20">SQRT((SUM((INDEX($C$3:$D$8,MATCH($B20,$B$3:$B$8,0),)-INDEX($C$3:$D$8,MATCH(E$14,$B$3:$B$8,0),))^2)))</f>
        <v>309.09060160412514</v>
      </c>
      <c r="F20" cm="1">
        <f t="array" ref="F20">SQRT((SUM((INDEX($C$3:$D$8,MATCH($B20,$B$3:$B$8,0),)-INDEX($C$3:$D$8,MATCH(F$14,$B$3:$B$8,0),))^2)))</f>
        <v>680.44838158379071</v>
      </c>
      <c r="G20" cm="1">
        <f t="array" ref="G20">SQRT((SUM((INDEX($C$3:$D$8,MATCH($B20,$B$3:$B$8,0),)-INDEX($C$3:$D$8,MATCH(G$14,$B$3:$B$8,0),))^2)))</f>
        <v>639.79137224567194</v>
      </c>
      <c r="H20" cm="1">
        <f t="array" ref="H20">SQRT((SUM((INDEX($C$3:$D$8,MATCH($B20,$B$3:$B$8,0),)-INDEX($C$3:$D$8,MATCH(H$14,$B$3:$B$8,0),))^2)))</f>
        <v>0</v>
      </c>
    </row>
    <row r="22" spans="2:19" x14ac:dyDescent="0.25">
      <c r="B22" s="3" t="s">
        <v>11</v>
      </c>
    </row>
    <row r="24" spans="2:19" x14ac:dyDescent="0.25">
      <c r="B24" t="s">
        <v>6</v>
      </c>
      <c r="D24" s="1">
        <v>4</v>
      </c>
      <c r="E24" s="1" t="s">
        <v>8</v>
      </c>
      <c r="F24" s="1">
        <v>2</v>
      </c>
      <c r="G24" s="1" t="s">
        <v>8</v>
      </c>
      <c r="H24" s="1">
        <v>5</v>
      </c>
      <c r="I24" s="1" t="s">
        <v>8</v>
      </c>
      <c r="J24" s="1">
        <v>3</v>
      </c>
      <c r="K24" s="1" t="s">
        <v>8</v>
      </c>
      <c r="L24" s="1">
        <v>6</v>
      </c>
      <c r="M24" s="1" t="s">
        <v>8</v>
      </c>
      <c r="N24" s="1">
        <v>1</v>
      </c>
      <c r="O24" s="1" t="s">
        <v>8</v>
      </c>
      <c r="P24" s="1">
        <v>4</v>
      </c>
    </row>
    <row r="25" spans="2:19" x14ac:dyDescent="0.25">
      <c r="B25" t="s">
        <v>7</v>
      </c>
      <c r="D25" s="1"/>
      <c r="E25" s="2">
        <f>INDEX($C$15:$H$20,MATCH(D24,$B$15:$B$20,0),MATCH(F24,$C$14:$H$14,0))</f>
        <v>165.55965692160635</v>
      </c>
      <c r="F25" s="2"/>
      <c r="G25" s="2">
        <f>INDEX($C$15:$H$20,MATCH(F24,$B$15:$B$20,0),MATCH(H24,$C$14:$H$14,0))</f>
        <v>168.15766411317682</v>
      </c>
      <c r="H25" s="2"/>
      <c r="I25" s="2">
        <f>INDEX($C$15:$H$20,MATCH(H24,$B$15:$B$20,0),MATCH(J24,$C$14:$H$14,0))</f>
        <v>479.84164054404448</v>
      </c>
      <c r="J25" s="2"/>
      <c r="K25" s="2">
        <f>INDEX($C$15:$H$20,MATCH(J24,$B$15:$B$20,0),MATCH(L24,$C$14:$H$14,0))</f>
        <v>309.09060160412514</v>
      </c>
      <c r="L25" s="2"/>
      <c r="M25" s="2">
        <f>INDEX($C$15:$H$20,MATCH(L24,$B$15:$B$20,0),MATCH(N24,$C$14:$H$14,0))</f>
        <v>657.8426863620208</v>
      </c>
      <c r="N25" s="2"/>
      <c r="O25" s="2">
        <f>INDEX($C$15:$H$20,MATCH(N24,$B$15:$B$20,0),MATCH(P24,$C$14:$H$14,0))</f>
        <v>698.05802051118928</v>
      </c>
      <c r="Q25" s="5">
        <f>SUM(E25:O25)</f>
        <v>2478.5502700561628</v>
      </c>
      <c r="R25" s="5"/>
      <c r="S25" t="s">
        <v>9</v>
      </c>
    </row>
    <row r="27" spans="2:19" x14ac:dyDescent="0.25">
      <c r="B27" t="s">
        <v>12</v>
      </c>
      <c r="E27">
        <v>2</v>
      </c>
    </row>
    <row r="28" spans="2:19" x14ac:dyDescent="0.25">
      <c r="B28" t="s">
        <v>13</v>
      </c>
      <c r="E28">
        <v>2</v>
      </c>
    </row>
    <row r="29" spans="2:19" x14ac:dyDescent="0.25">
      <c r="B29" t="s">
        <v>14</v>
      </c>
      <c r="E29">
        <v>50</v>
      </c>
    </row>
    <row r="31" spans="2:19" x14ac:dyDescent="0.25">
      <c r="B31" t="s">
        <v>6</v>
      </c>
      <c r="D31" s="1">
        <v>4</v>
      </c>
      <c r="E31" s="1" t="s">
        <v>8</v>
      </c>
      <c r="F31" s="1">
        <v>2</v>
      </c>
      <c r="G31" s="1" t="s">
        <v>8</v>
      </c>
      <c r="H31" s="1">
        <v>5</v>
      </c>
      <c r="I31" s="1" t="s">
        <v>8</v>
      </c>
      <c r="J31" s="1">
        <v>3</v>
      </c>
      <c r="K31" s="1" t="s">
        <v>8</v>
      </c>
      <c r="L31" s="1">
        <v>6</v>
      </c>
      <c r="M31" s="1" t="s">
        <v>8</v>
      </c>
      <c r="N31" s="1">
        <v>1</v>
      </c>
      <c r="O31" s="1" t="s">
        <v>8</v>
      </c>
      <c r="P31" s="1">
        <v>4</v>
      </c>
    </row>
    <row r="32" spans="2:19" x14ac:dyDescent="0.25">
      <c r="B32" t="s">
        <v>7</v>
      </c>
      <c r="D32" s="1"/>
      <c r="E32" s="2">
        <f>INDEX($C$15:$H$20,MATCH(D31,$B$15:$B$20,0),MATCH(F31,$C$14:$H$14,0))</f>
        <v>165.55965692160635</v>
      </c>
      <c r="F32" s="2"/>
      <c r="G32" s="2">
        <f>INDEX($C$15:$H$20,MATCH(F31,$B$15:$B$20,0),MATCH(H31,$C$14:$H$14,0))</f>
        <v>168.15766411317682</v>
      </c>
      <c r="H32" s="2"/>
      <c r="I32" s="2">
        <f>INDEX($C$15:$H$20,MATCH(H31,$B$15:$B$20,0),MATCH(J31,$C$14:$H$14,0))</f>
        <v>479.84164054404448</v>
      </c>
      <c r="J32" s="2"/>
      <c r="K32" s="2">
        <f>INDEX($C$15:$H$20,MATCH(J31,$B$15:$B$20,0),MATCH(L31,$C$14:$H$14,0))</f>
        <v>309.09060160412514</v>
      </c>
      <c r="L32" s="2"/>
      <c r="M32" s="2">
        <f>INDEX($C$15:$H$20,MATCH(L31,$B$15:$B$20,0),MATCH(N31,$C$14:$H$14,0))</f>
        <v>657.8426863620208</v>
      </c>
      <c r="N32" s="2"/>
      <c r="O32" s="2">
        <f>INDEX($C$15:$H$20,MATCH(N31,$B$15:$B$20,0),MATCH(P31,$C$14:$H$14,0))</f>
        <v>698.05802051118928</v>
      </c>
      <c r="Q32" s="5">
        <f>SUM(E32:O32)</f>
        <v>2478.5502700561628</v>
      </c>
      <c r="R32" s="5"/>
      <c r="S32" t="s">
        <v>9</v>
      </c>
    </row>
    <row r="34" spans="2:21" x14ac:dyDescent="0.25">
      <c r="B34" t="s">
        <v>10</v>
      </c>
    </row>
    <row r="35" spans="2:21" x14ac:dyDescent="0.25">
      <c r="B35" t="s">
        <v>40</v>
      </c>
    </row>
    <row r="36" spans="2:21" x14ac:dyDescent="0.25">
      <c r="B36" t="s">
        <v>19</v>
      </c>
      <c r="C36" t="s">
        <v>23</v>
      </c>
      <c r="D36" t="s">
        <v>22</v>
      </c>
      <c r="G36" s="1">
        <v>4</v>
      </c>
      <c r="H36" s="1" t="s">
        <v>8</v>
      </c>
      <c r="I36" s="1">
        <v>5</v>
      </c>
      <c r="J36" s="1" t="s">
        <v>8</v>
      </c>
      <c r="K36" s="1">
        <v>2</v>
      </c>
      <c r="L36" s="1" t="s">
        <v>8</v>
      </c>
      <c r="M36" s="1">
        <v>3</v>
      </c>
      <c r="N36" s="1" t="s">
        <v>8</v>
      </c>
      <c r="O36" s="1">
        <v>6</v>
      </c>
      <c r="P36" s="1" t="s">
        <v>8</v>
      </c>
      <c r="Q36" s="1">
        <v>1</v>
      </c>
      <c r="R36" s="1" t="s">
        <v>8</v>
      </c>
      <c r="S36" s="1">
        <v>4</v>
      </c>
    </row>
    <row r="37" spans="2:21" x14ac:dyDescent="0.25">
      <c r="B37" t="s">
        <v>20</v>
      </c>
      <c r="C37" t="s">
        <v>38</v>
      </c>
      <c r="D37" t="s">
        <v>39</v>
      </c>
      <c r="G37" s="1"/>
      <c r="H37" s="2">
        <f>INDEX($C$15:$H$20,MATCH(G36,$B$15:$B$20,0),MATCH(I36,$C$14:$H$14,0))</f>
        <v>200.80089641234176</v>
      </c>
      <c r="I37" s="2"/>
      <c r="J37" s="2">
        <f>INDEX($C$15:$H$20,MATCH(I36,$B$15:$B$20,0),MATCH(K36,$C$14:$H$14,0))</f>
        <v>168.15766411317682</v>
      </c>
      <c r="K37" s="2"/>
      <c r="L37" s="2">
        <f>INDEX($C$15:$H$20,MATCH(K36,$B$15:$B$20,0),MATCH(M36,$C$14:$H$14,0))</f>
        <v>647.07418430965083</v>
      </c>
      <c r="M37" s="2"/>
      <c r="N37" s="2">
        <f>INDEX($C$15:$H$20,MATCH(M36,$B$15:$B$20,0),MATCH(O36,$C$14:$H$14,0))</f>
        <v>309.09060160412514</v>
      </c>
      <c r="O37" s="2"/>
      <c r="P37" s="2">
        <f>INDEX($C$15:$H$20,MATCH(O36,$B$15:$B$20,0),MATCH(Q36,$C$14:$H$14,0))</f>
        <v>657.8426863620208</v>
      </c>
      <c r="Q37" s="2"/>
      <c r="R37" s="2">
        <f>INDEX($C$15:$H$20,MATCH(Q36,$B$15:$B$20,0),MATCH(S36,$C$14:$H$14,0))</f>
        <v>698.05802051118928</v>
      </c>
      <c r="T37" s="5">
        <f>SUM(H37:R37)</f>
        <v>2681.0240533125043</v>
      </c>
      <c r="U37" s="5"/>
    </row>
    <row r="39" spans="2:21" x14ac:dyDescent="0.25">
      <c r="B39" t="s">
        <v>19</v>
      </c>
      <c r="C39" t="s">
        <v>23</v>
      </c>
      <c r="D39" t="s">
        <v>24</v>
      </c>
      <c r="G39" s="1">
        <v>4</v>
      </c>
      <c r="H39" s="1" t="s">
        <v>8</v>
      </c>
      <c r="I39" s="1">
        <v>3</v>
      </c>
      <c r="J39" s="1" t="s">
        <v>8</v>
      </c>
      <c r="K39" s="1">
        <v>5</v>
      </c>
      <c r="L39" s="1" t="s">
        <v>8</v>
      </c>
      <c r="M39" s="1">
        <v>2</v>
      </c>
      <c r="N39" s="1" t="s">
        <v>8</v>
      </c>
      <c r="O39" s="1">
        <v>6</v>
      </c>
      <c r="P39" s="1" t="s">
        <v>8</v>
      </c>
      <c r="Q39" s="1">
        <v>1</v>
      </c>
      <c r="R39" s="1" t="s">
        <v>8</v>
      </c>
      <c r="S39" s="1">
        <v>4</v>
      </c>
    </row>
    <row r="40" spans="2:21" x14ac:dyDescent="0.25">
      <c r="B40" t="s">
        <v>20</v>
      </c>
      <c r="C40" t="s">
        <v>17</v>
      </c>
      <c r="D40" t="s">
        <v>25</v>
      </c>
      <c r="G40" s="1"/>
      <c r="H40" s="2">
        <f>INDEX($C$15:$H$20,MATCH(G39,$B$15:$B$20,0),MATCH(I39,$C$14:$H$14,0))</f>
        <v>607.16801628544306</v>
      </c>
      <c r="I40" s="2"/>
      <c r="J40" s="2">
        <f>INDEX($C$15:$H$20,MATCH(I39,$B$15:$B$20,0),MATCH(K39,$C$14:$H$14,0))</f>
        <v>479.84164054404448</v>
      </c>
      <c r="K40" s="2"/>
      <c r="L40" s="2">
        <f>INDEX($C$15:$H$20,MATCH(K39,$B$15:$B$20,0),MATCH(M39,$C$14:$H$14,0))</f>
        <v>168.15766411317682</v>
      </c>
      <c r="M40" s="2"/>
      <c r="N40" s="2">
        <f>INDEX($C$15:$H$20,MATCH(M39,$B$15:$B$20,0),MATCH(O39,$C$14:$H$14,0))</f>
        <v>784.04081526410346</v>
      </c>
      <c r="O40" s="2"/>
      <c r="P40" s="2">
        <f>INDEX($C$15:$H$20,MATCH(O39,$B$15:$B$20,0),MATCH(Q39,$C$14:$H$14,0))</f>
        <v>657.8426863620208</v>
      </c>
      <c r="Q40" s="2"/>
      <c r="R40" s="2">
        <f>INDEX($C$15:$H$20,MATCH(Q39,$B$15:$B$20,0),MATCH(S39,$C$14:$H$14,0))</f>
        <v>698.05802051118928</v>
      </c>
      <c r="T40" s="6">
        <f>SUM(H40:R40)</f>
        <v>3395.1088430799778</v>
      </c>
      <c r="U40" s="6"/>
    </row>
    <row r="42" spans="2:21" x14ac:dyDescent="0.25">
      <c r="B42" t="s">
        <v>19</v>
      </c>
      <c r="C42" t="s">
        <v>23</v>
      </c>
      <c r="D42" t="s">
        <v>27</v>
      </c>
      <c r="G42" s="1">
        <v>4</v>
      </c>
      <c r="H42" s="1" t="s">
        <v>8</v>
      </c>
      <c r="I42" s="1">
        <v>6</v>
      </c>
      <c r="J42" s="1" t="s">
        <v>8</v>
      </c>
      <c r="K42" s="1">
        <v>5</v>
      </c>
      <c r="L42" s="1" t="s">
        <v>8</v>
      </c>
      <c r="M42" s="1">
        <v>3</v>
      </c>
      <c r="N42" s="1" t="s">
        <v>8</v>
      </c>
      <c r="O42" s="1">
        <v>2</v>
      </c>
      <c r="P42" s="1" t="s">
        <v>8</v>
      </c>
      <c r="Q42" s="1">
        <v>1</v>
      </c>
      <c r="R42" s="1" t="s">
        <v>8</v>
      </c>
      <c r="S42" s="1">
        <v>4</v>
      </c>
    </row>
    <row r="43" spans="2:21" x14ac:dyDescent="0.25">
      <c r="B43" t="s">
        <v>20</v>
      </c>
      <c r="C43" t="s">
        <v>31</v>
      </c>
      <c r="D43" t="s">
        <v>32</v>
      </c>
      <c r="G43" s="1"/>
      <c r="H43" s="2">
        <f>INDEX($C$15:$H$20,MATCH(G42,$B$15:$B$20,0),MATCH(I42,$C$14:$H$14,0))</f>
        <v>680.44838158379071</v>
      </c>
      <c r="I43" s="2"/>
      <c r="J43" s="2">
        <f>INDEX($C$15:$H$20,MATCH(I42,$B$15:$B$20,0),MATCH(K42,$C$14:$H$14,0))</f>
        <v>639.79137224567194</v>
      </c>
      <c r="K43" s="2"/>
      <c r="L43" s="2">
        <f>INDEX($C$15:$H$20,MATCH(K42,$B$15:$B$20,0),MATCH(M42,$C$14:$H$14,0))</f>
        <v>479.84164054404448</v>
      </c>
      <c r="M43" s="2"/>
      <c r="N43" s="2">
        <f>INDEX($C$15:$H$20,MATCH(M42,$B$15:$B$20,0),MATCH(O42,$C$14:$H$14,0))</f>
        <v>647.07418430965083</v>
      </c>
      <c r="O43" s="2"/>
      <c r="P43" s="2">
        <f>INDEX($C$15:$H$20,MATCH(O42,$B$15:$B$20,0),MATCH(Q42,$C$14:$H$14,0))</f>
        <v>650.00076923031406</v>
      </c>
      <c r="Q43" s="2"/>
      <c r="R43" s="2">
        <f>INDEX($C$15:$H$20,MATCH(Q42,$B$15:$B$20,0),MATCH(S42,$C$14:$H$14,0))</f>
        <v>698.05802051118928</v>
      </c>
      <c r="T43" s="6">
        <f>SUM(H43:R43)</f>
        <v>3795.2143684246612</v>
      </c>
      <c r="U43" s="6"/>
    </row>
    <row r="45" spans="2:21" x14ac:dyDescent="0.25">
      <c r="B45" t="s">
        <v>19</v>
      </c>
      <c r="C45" t="s">
        <v>23</v>
      </c>
      <c r="D45" t="s">
        <v>29</v>
      </c>
      <c r="G45" s="1">
        <v>4</v>
      </c>
      <c r="H45" s="1" t="s">
        <v>8</v>
      </c>
      <c r="I45" s="1">
        <v>1</v>
      </c>
      <c r="J45" s="1" t="s">
        <v>8</v>
      </c>
      <c r="K45" s="1">
        <v>5</v>
      </c>
      <c r="L45" s="1" t="s">
        <v>8</v>
      </c>
      <c r="M45" s="1">
        <v>6</v>
      </c>
      <c r="N45" s="1" t="s">
        <v>8</v>
      </c>
      <c r="O45" s="1">
        <v>3</v>
      </c>
      <c r="P45" s="1" t="s">
        <v>8</v>
      </c>
      <c r="Q45" s="1">
        <v>2</v>
      </c>
      <c r="R45" s="1" t="s">
        <v>8</v>
      </c>
      <c r="S45" s="1">
        <v>4</v>
      </c>
    </row>
    <row r="46" spans="2:21" x14ac:dyDescent="0.25">
      <c r="B46" t="s">
        <v>20</v>
      </c>
      <c r="C46" t="s">
        <v>35</v>
      </c>
      <c r="D46" t="s">
        <v>21</v>
      </c>
      <c r="G46" s="1"/>
      <c r="H46" s="2">
        <f>INDEX($C$15:$H$20,MATCH(G45,$B$15:$B$20,0),MATCH(I45,$C$14:$H$14,0))</f>
        <v>698.05802051118928</v>
      </c>
      <c r="I46" s="2"/>
      <c r="J46" s="2">
        <f>INDEX($C$15:$H$20,MATCH(I45,$B$15:$B$20,0),MATCH(K45,$C$14:$H$14,0))</f>
        <v>504.31141172890386</v>
      </c>
      <c r="K46" s="2"/>
      <c r="L46" s="2">
        <f>INDEX($C$15:$H$20,MATCH(K45,$B$15:$B$20,0),MATCH(M45,$C$14:$H$14,0))</f>
        <v>639.79137224567194</v>
      </c>
      <c r="M46" s="2"/>
      <c r="N46" s="2">
        <f>INDEX($C$15:$H$20,MATCH(M45,$B$15:$B$20,0),MATCH(O45,$C$14:$H$14,0))</f>
        <v>309.09060160412514</v>
      </c>
      <c r="O46" s="2"/>
      <c r="P46" s="2">
        <f>INDEX($C$15:$H$20,MATCH(O45,$B$15:$B$20,0),MATCH(Q45,$C$14:$H$14,0))</f>
        <v>647.07418430965083</v>
      </c>
      <c r="Q46" s="2"/>
      <c r="R46" s="2">
        <f>INDEX($C$15:$H$20,MATCH(Q45,$B$15:$B$20,0),MATCH(S45,$C$14:$H$14,0))</f>
        <v>165.55965692160635</v>
      </c>
      <c r="T46" s="6">
        <f>SUM(H46:R46)</f>
        <v>2963.8852473211473</v>
      </c>
      <c r="U46" s="6"/>
    </row>
    <row r="48" spans="2:21" x14ac:dyDescent="0.25">
      <c r="B48" t="s">
        <v>19</v>
      </c>
      <c r="C48" t="s">
        <v>26</v>
      </c>
      <c r="D48" t="s">
        <v>24</v>
      </c>
      <c r="G48" s="1">
        <v>4</v>
      </c>
      <c r="H48" s="1" t="s">
        <v>8</v>
      </c>
      <c r="I48" s="1">
        <v>2</v>
      </c>
      <c r="J48" s="1" t="s">
        <v>8</v>
      </c>
      <c r="K48" s="1">
        <v>3</v>
      </c>
      <c r="L48" s="1" t="s">
        <v>8</v>
      </c>
      <c r="M48" s="1">
        <v>5</v>
      </c>
      <c r="N48" s="1" t="s">
        <v>8</v>
      </c>
      <c r="O48" s="1">
        <v>6</v>
      </c>
      <c r="P48" s="1" t="s">
        <v>8</v>
      </c>
      <c r="Q48" s="1">
        <v>1</v>
      </c>
      <c r="R48" s="1" t="s">
        <v>8</v>
      </c>
      <c r="S48" s="1">
        <v>4</v>
      </c>
    </row>
    <row r="49" spans="2:22" x14ac:dyDescent="0.25">
      <c r="B49" t="s">
        <v>20</v>
      </c>
      <c r="C49" t="s">
        <v>39</v>
      </c>
      <c r="D49" t="s">
        <v>33</v>
      </c>
      <c r="G49" s="1"/>
      <c r="H49" s="2">
        <f>INDEX($C$15:$H$20,MATCH(G48,$B$15:$B$20,0),MATCH(I48,$C$14:$H$14,0))</f>
        <v>165.55965692160635</v>
      </c>
      <c r="I49" s="2"/>
      <c r="J49" s="2">
        <f>INDEX($C$15:$H$20,MATCH(I48,$B$15:$B$20,0),MATCH(K48,$C$14:$H$14,0))</f>
        <v>647.07418430965083</v>
      </c>
      <c r="K49" s="2"/>
      <c r="L49" s="2">
        <f>INDEX($C$15:$H$20,MATCH(K48,$B$15:$B$20,0),MATCH(M48,$C$14:$H$14,0))</f>
        <v>479.84164054404448</v>
      </c>
      <c r="M49" s="2"/>
      <c r="N49" s="2">
        <f>INDEX($C$15:$H$20,MATCH(M48,$B$15:$B$20,0),MATCH(O48,$C$14:$H$14,0))</f>
        <v>639.79137224567194</v>
      </c>
      <c r="O49" s="2"/>
      <c r="P49" s="2">
        <f>INDEX($C$15:$H$20,MATCH(O48,$B$15:$B$20,0),MATCH(Q48,$C$14:$H$14,0))</f>
        <v>657.8426863620208</v>
      </c>
      <c r="Q49" s="2"/>
      <c r="R49" s="2">
        <f>INDEX($C$15:$H$20,MATCH(Q48,$B$15:$B$20,0),MATCH(S48,$C$14:$H$14,0))</f>
        <v>698.05802051118928</v>
      </c>
      <c r="T49" s="6">
        <f>SUM(H49:R49)</f>
        <v>3288.1675608941837</v>
      </c>
      <c r="U49" s="6"/>
    </row>
    <row r="50" spans="2:22" x14ac:dyDescent="0.25"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22" x14ac:dyDescent="0.25">
      <c r="B51" t="s">
        <v>19</v>
      </c>
      <c r="C51" t="s">
        <v>26</v>
      </c>
      <c r="D51" t="s">
        <v>27</v>
      </c>
      <c r="G51" s="1">
        <v>4</v>
      </c>
      <c r="H51" s="1" t="s">
        <v>8</v>
      </c>
      <c r="I51" s="1">
        <v>2</v>
      </c>
      <c r="J51" s="1" t="s">
        <v>8</v>
      </c>
      <c r="K51" s="1">
        <v>6</v>
      </c>
      <c r="L51" s="1" t="s">
        <v>8</v>
      </c>
      <c r="M51" s="1">
        <v>3</v>
      </c>
      <c r="N51" s="1" t="s">
        <v>8</v>
      </c>
      <c r="O51" s="1">
        <v>5</v>
      </c>
      <c r="P51" s="1" t="s">
        <v>8</v>
      </c>
      <c r="Q51" s="1">
        <v>1</v>
      </c>
      <c r="R51" s="1" t="s">
        <v>8</v>
      </c>
      <c r="S51" s="1">
        <v>4</v>
      </c>
    </row>
    <row r="52" spans="2:22" x14ac:dyDescent="0.25">
      <c r="B52" t="s">
        <v>20</v>
      </c>
      <c r="C52" t="s">
        <v>25</v>
      </c>
      <c r="D52" t="s">
        <v>28</v>
      </c>
      <c r="G52" s="1"/>
      <c r="H52" s="2">
        <f>INDEX($C$15:$H$20,MATCH(G51,$B$15:$B$20,0),MATCH(I51,$C$14:$H$14,0))</f>
        <v>165.55965692160635</v>
      </c>
      <c r="I52" s="2"/>
      <c r="J52" s="2">
        <f>INDEX($C$15:$H$20,MATCH(I51,$B$15:$B$20,0),MATCH(K51,$C$14:$H$14,0))</f>
        <v>784.04081526410346</v>
      </c>
      <c r="K52" s="2"/>
      <c r="L52" s="2">
        <f>INDEX($C$15:$H$20,MATCH(K51,$B$15:$B$20,0),MATCH(M51,$C$14:$H$14,0))</f>
        <v>309.09060160412514</v>
      </c>
      <c r="M52" s="2"/>
      <c r="N52" s="2">
        <f>INDEX($C$15:$H$20,MATCH(M51,$B$15:$B$20,0),MATCH(O51,$C$14:$H$14,0))</f>
        <v>479.84164054404448</v>
      </c>
      <c r="O52" s="2"/>
      <c r="P52" s="2">
        <f>INDEX($C$15:$H$20,MATCH(O51,$B$15:$B$20,0),MATCH(Q51,$C$14:$H$14,0))</f>
        <v>504.31141172890386</v>
      </c>
      <c r="Q52" s="2"/>
      <c r="R52" s="2">
        <f>INDEX($C$15:$H$20,MATCH(Q51,$B$15:$B$20,0),MATCH(S51,$C$14:$H$14,0))</f>
        <v>698.05802051118928</v>
      </c>
      <c r="T52" s="6">
        <f>SUM(H52:R52)</f>
        <v>2940.9021465739725</v>
      </c>
      <c r="U52" s="6"/>
    </row>
    <row r="54" spans="2:22" x14ac:dyDescent="0.25">
      <c r="B54" t="s">
        <v>19</v>
      </c>
      <c r="C54" t="s">
        <v>26</v>
      </c>
      <c r="D54" t="s">
        <v>29</v>
      </c>
      <c r="G54" s="1">
        <v>4</v>
      </c>
      <c r="H54" s="1" t="s">
        <v>8</v>
      </c>
      <c r="I54" s="1">
        <v>2</v>
      </c>
      <c r="J54" s="1" t="s">
        <v>8</v>
      </c>
      <c r="K54" s="1">
        <v>1</v>
      </c>
      <c r="L54" s="1" t="s">
        <v>8</v>
      </c>
      <c r="M54" s="1">
        <v>3</v>
      </c>
      <c r="N54" s="1" t="s">
        <v>8</v>
      </c>
      <c r="O54" s="1">
        <v>6</v>
      </c>
      <c r="P54" s="1" t="s">
        <v>8</v>
      </c>
      <c r="Q54" s="1">
        <v>5</v>
      </c>
      <c r="R54" s="1" t="s">
        <v>8</v>
      </c>
      <c r="S54" s="1">
        <v>4</v>
      </c>
    </row>
    <row r="55" spans="2:22" x14ac:dyDescent="0.25">
      <c r="B55" t="s">
        <v>20</v>
      </c>
      <c r="C55" t="s">
        <v>32</v>
      </c>
      <c r="D55" t="s">
        <v>36</v>
      </c>
      <c r="G55" s="1"/>
      <c r="H55" s="2">
        <f>INDEX($C$15:$H$20,MATCH(G54,$B$15:$B$20,0),MATCH(I54,$C$14:$H$14,0))</f>
        <v>165.55965692160635</v>
      </c>
      <c r="I55" s="2"/>
      <c r="J55" s="2">
        <f>INDEX($C$15:$H$20,MATCH(I54,$B$15:$B$20,0),MATCH(K54,$C$14:$H$14,0))</f>
        <v>650.00076923031406</v>
      </c>
      <c r="K55" s="2"/>
      <c r="L55" s="2">
        <f>INDEX($C$15:$H$20,MATCH(K54,$B$15:$B$20,0),MATCH(M54,$C$14:$H$14,0))</f>
        <v>348.76066291942959</v>
      </c>
      <c r="M55" s="2"/>
      <c r="N55" s="2">
        <f>INDEX($C$15:$H$20,MATCH(M54,$B$15:$B$20,0),MATCH(O54,$C$14:$H$14,0))</f>
        <v>309.09060160412514</v>
      </c>
      <c r="O55" s="2"/>
      <c r="P55" s="2">
        <f>INDEX($C$15:$H$20,MATCH(O54,$B$15:$B$20,0),MATCH(Q54,$C$14:$H$14,0))</f>
        <v>639.79137224567194</v>
      </c>
      <c r="Q55" s="2"/>
      <c r="R55" s="2">
        <f>INDEX($C$15:$H$20,MATCH(Q54,$B$15:$B$20,0),MATCH(S54,$C$14:$H$14,0))</f>
        <v>200.80089641234176</v>
      </c>
      <c r="T55" s="4">
        <f>SUM(H55:R55)</f>
        <v>2314.0039593334886</v>
      </c>
      <c r="U55" s="4"/>
      <c r="V55" t="s">
        <v>43</v>
      </c>
    </row>
    <row r="57" spans="2:22" x14ac:dyDescent="0.25">
      <c r="B57" t="s">
        <v>19</v>
      </c>
      <c r="C57" t="s">
        <v>22</v>
      </c>
      <c r="D57" t="s">
        <v>27</v>
      </c>
      <c r="G57" s="1">
        <v>4</v>
      </c>
      <c r="H57" s="1" t="s">
        <v>8</v>
      </c>
      <c r="I57" s="1">
        <v>2</v>
      </c>
      <c r="J57" s="1" t="s">
        <v>8</v>
      </c>
      <c r="K57" s="1">
        <v>5</v>
      </c>
      <c r="L57" s="1" t="s">
        <v>8</v>
      </c>
      <c r="M57" s="1">
        <v>6</v>
      </c>
      <c r="N57" s="1" t="s">
        <v>8</v>
      </c>
      <c r="O57" s="1">
        <v>3</v>
      </c>
      <c r="P57" s="1" t="s">
        <v>8</v>
      </c>
      <c r="Q57" s="1">
        <v>1</v>
      </c>
      <c r="R57" s="1" t="s">
        <v>8</v>
      </c>
      <c r="S57" s="1">
        <v>4</v>
      </c>
    </row>
    <row r="58" spans="2:22" x14ac:dyDescent="0.25">
      <c r="B58" t="s">
        <v>20</v>
      </c>
      <c r="C58" t="s">
        <v>33</v>
      </c>
      <c r="D58" t="s">
        <v>34</v>
      </c>
      <c r="G58" s="1"/>
      <c r="H58" s="2">
        <f>INDEX($C$15:$H$20,MATCH(G57,$B$15:$B$20,0),MATCH(I57,$C$14:$H$14,0))</f>
        <v>165.55965692160635</v>
      </c>
      <c r="I58" s="2"/>
      <c r="J58" s="2">
        <f>INDEX($C$15:$H$20,MATCH(I57,$B$15:$B$20,0),MATCH(K57,$C$14:$H$14,0))</f>
        <v>168.15766411317682</v>
      </c>
      <c r="K58" s="2"/>
      <c r="L58" s="2">
        <f>INDEX($C$15:$H$20,MATCH(K57,$B$15:$B$20,0),MATCH(M57,$C$14:$H$14,0))</f>
        <v>639.79137224567194</v>
      </c>
      <c r="M58" s="2"/>
      <c r="N58" s="2">
        <f>INDEX($C$15:$H$20,MATCH(M57,$B$15:$B$20,0),MATCH(O57,$C$14:$H$14,0))</f>
        <v>309.09060160412514</v>
      </c>
      <c r="O58" s="2"/>
      <c r="P58" s="2">
        <f>INDEX($C$15:$H$20,MATCH(O57,$B$15:$B$20,0),MATCH(Q57,$C$14:$H$14,0))</f>
        <v>348.76066291942959</v>
      </c>
      <c r="Q58" s="2"/>
      <c r="R58" s="2">
        <f>INDEX($C$15:$H$20,MATCH(Q57,$B$15:$B$20,0),MATCH(S57,$C$14:$H$14,0))</f>
        <v>698.05802051118928</v>
      </c>
      <c r="T58" s="6">
        <f>SUM(H58:R58)</f>
        <v>2329.417978315199</v>
      </c>
      <c r="U58" s="6"/>
    </row>
    <row r="60" spans="2:22" x14ac:dyDescent="0.25">
      <c r="B60" t="s">
        <v>19</v>
      </c>
      <c r="C60" t="s">
        <v>22</v>
      </c>
      <c r="D60" t="s">
        <v>29</v>
      </c>
      <c r="G60" s="1">
        <v>4</v>
      </c>
      <c r="H60" s="1" t="s">
        <v>8</v>
      </c>
      <c r="I60" s="1">
        <v>2</v>
      </c>
      <c r="J60" s="1" t="s">
        <v>8</v>
      </c>
      <c r="K60" s="1">
        <v>5</v>
      </c>
      <c r="L60" s="1" t="s">
        <v>8</v>
      </c>
      <c r="M60" s="1">
        <v>1</v>
      </c>
      <c r="N60" s="1" t="s">
        <v>8</v>
      </c>
      <c r="O60" s="1">
        <v>6</v>
      </c>
      <c r="P60" s="1" t="s">
        <v>8</v>
      </c>
      <c r="Q60" s="1">
        <v>3</v>
      </c>
      <c r="R60" s="1" t="s">
        <v>8</v>
      </c>
      <c r="S60" s="1">
        <v>4</v>
      </c>
    </row>
    <row r="61" spans="2:22" x14ac:dyDescent="0.25">
      <c r="B61" t="s">
        <v>20</v>
      </c>
      <c r="C61" t="s">
        <v>28</v>
      </c>
      <c r="D61" t="s">
        <v>30</v>
      </c>
      <c r="G61" s="1"/>
      <c r="H61" s="2">
        <f>INDEX($C$15:$H$20,MATCH(G60,$B$15:$B$20,0),MATCH(I60,$C$14:$H$14,0))</f>
        <v>165.55965692160635</v>
      </c>
      <c r="I61" s="2"/>
      <c r="J61" s="2">
        <f>INDEX($C$15:$H$20,MATCH(I60,$B$15:$B$20,0),MATCH(K60,$C$14:$H$14,0))</f>
        <v>168.15766411317682</v>
      </c>
      <c r="K61" s="2"/>
      <c r="L61" s="2">
        <f>INDEX($C$15:$H$20,MATCH(K60,$B$15:$B$20,0),MATCH(M60,$C$14:$H$14,0))</f>
        <v>504.31141172890386</v>
      </c>
      <c r="M61" s="2"/>
      <c r="N61" s="2">
        <f>INDEX($C$15:$H$20,MATCH(M60,$B$15:$B$20,0),MATCH(O60,$C$14:$H$14,0))</f>
        <v>657.8426863620208</v>
      </c>
      <c r="O61" s="2"/>
      <c r="P61" s="2">
        <f>INDEX($C$15:$H$20,MATCH(O60,$B$15:$B$20,0),MATCH(Q60,$C$14:$H$14,0))</f>
        <v>309.09060160412514</v>
      </c>
      <c r="Q61" s="2"/>
      <c r="R61" s="2">
        <f>INDEX($C$15:$H$20,MATCH(Q60,$B$15:$B$20,0),MATCH(S60,$C$14:$H$14,0))</f>
        <v>607.16801628544306</v>
      </c>
      <c r="T61" s="6">
        <f>SUM(H61:R61)</f>
        <v>2412.1300370152758</v>
      </c>
      <c r="U61" s="6"/>
    </row>
    <row r="63" spans="2:22" x14ac:dyDescent="0.25">
      <c r="B63" t="s">
        <v>45</v>
      </c>
    </row>
    <row r="64" spans="2:22" x14ac:dyDescent="0.25">
      <c r="B64" t="s">
        <v>6</v>
      </c>
      <c r="D64" s="1">
        <v>4</v>
      </c>
      <c r="E64" s="1" t="s">
        <v>8</v>
      </c>
      <c r="F64" s="1">
        <v>2</v>
      </c>
      <c r="G64" s="1" t="s">
        <v>8</v>
      </c>
      <c r="H64" s="1">
        <v>1</v>
      </c>
      <c r="I64" s="1" t="s">
        <v>8</v>
      </c>
      <c r="J64" s="1">
        <v>3</v>
      </c>
      <c r="K64" s="1" t="s">
        <v>8</v>
      </c>
      <c r="L64" s="1">
        <v>6</v>
      </c>
      <c r="M64" s="1" t="s">
        <v>8</v>
      </c>
      <c r="N64" s="1">
        <v>5</v>
      </c>
      <c r="O64" s="1" t="s">
        <v>8</v>
      </c>
      <c r="P64" s="1">
        <v>4</v>
      </c>
      <c r="T64" s="6"/>
      <c r="U64" s="6"/>
    </row>
    <row r="65" spans="2:21" x14ac:dyDescent="0.25">
      <c r="B65" t="s">
        <v>7</v>
      </c>
      <c r="D65" s="1"/>
      <c r="E65" s="2">
        <f>INDEX($C$15:$H$20,MATCH(D64,$B$15:$B$20,0),MATCH(F64,$C$14:$H$14,0))</f>
        <v>165.55965692160635</v>
      </c>
      <c r="F65" s="2"/>
      <c r="G65" s="2">
        <f>INDEX($C$15:$H$20,MATCH(F64,$B$15:$B$20,0),MATCH(H64,$C$14:$H$14,0))</f>
        <v>650.00076923031406</v>
      </c>
      <c r="H65" s="2"/>
      <c r="I65" s="2">
        <f>INDEX($C$15:$H$20,MATCH(H64,$B$15:$B$20,0),MATCH(J64,$C$14:$H$14,0))</f>
        <v>348.76066291942959</v>
      </c>
      <c r="J65" s="2"/>
      <c r="K65" s="2">
        <f>INDEX($C$15:$H$20,MATCH(J64,$B$15:$B$20,0),MATCH(L64,$C$14:$H$14,0))</f>
        <v>309.09060160412514</v>
      </c>
      <c r="L65" s="2"/>
      <c r="M65" s="2">
        <f>INDEX($C$15:$H$20,MATCH(L64,$B$15:$B$20,0),MATCH(N64,$C$14:$H$14,0))</f>
        <v>639.79137224567194</v>
      </c>
      <c r="N65" s="2"/>
      <c r="O65" s="2">
        <f>INDEX($C$15:$H$20,MATCH(N64,$B$15:$B$20,0),MATCH(P64,$C$14:$H$14,0))</f>
        <v>200.80089641234176</v>
      </c>
      <c r="Q65" s="5">
        <f>SUM(E65:O65)</f>
        <v>2314.0039593334886</v>
      </c>
      <c r="R65" s="5"/>
      <c r="S65" t="s">
        <v>9</v>
      </c>
    </row>
    <row r="67" spans="2:21" x14ac:dyDescent="0.25">
      <c r="B67" t="s">
        <v>15</v>
      </c>
      <c r="G67" t="s">
        <v>16</v>
      </c>
      <c r="I67" t="s">
        <v>18</v>
      </c>
    </row>
    <row r="68" spans="2:21" x14ac:dyDescent="0.25">
      <c r="B68" t="s">
        <v>19</v>
      </c>
      <c r="C68" t="s">
        <v>26</v>
      </c>
      <c r="D68" t="s">
        <v>29</v>
      </c>
      <c r="G68" t="s">
        <v>32</v>
      </c>
      <c r="I68">
        <v>2</v>
      </c>
    </row>
    <row r="69" spans="2:21" x14ac:dyDescent="0.25">
      <c r="B69" t="s">
        <v>20</v>
      </c>
      <c r="C69" t="s">
        <v>32</v>
      </c>
      <c r="D69" t="s">
        <v>36</v>
      </c>
      <c r="G69" t="s">
        <v>36</v>
      </c>
      <c r="I69">
        <v>2</v>
      </c>
    </row>
    <row r="71" spans="2:21" x14ac:dyDescent="0.25">
      <c r="B71" t="s">
        <v>46</v>
      </c>
    </row>
    <row r="72" spans="2:21" x14ac:dyDescent="0.25">
      <c r="B72" t="s">
        <v>19</v>
      </c>
      <c r="C72" t="s">
        <v>23</v>
      </c>
      <c r="D72" t="s">
        <v>42</v>
      </c>
      <c r="G72" s="1">
        <v>4</v>
      </c>
      <c r="H72" s="1" t="s">
        <v>8</v>
      </c>
      <c r="I72" s="1">
        <v>1</v>
      </c>
      <c r="J72" s="1" t="s">
        <v>8</v>
      </c>
      <c r="K72" s="1">
        <v>2</v>
      </c>
      <c r="L72" s="1" t="s">
        <v>8</v>
      </c>
      <c r="M72" s="1">
        <v>3</v>
      </c>
      <c r="N72" s="1" t="s">
        <v>8</v>
      </c>
      <c r="O72" s="1">
        <v>6</v>
      </c>
      <c r="P72" s="1" t="s">
        <v>8</v>
      </c>
      <c r="Q72" s="1">
        <v>5</v>
      </c>
      <c r="R72" s="1" t="s">
        <v>8</v>
      </c>
      <c r="S72" s="1">
        <v>4</v>
      </c>
    </row>
    <row r="73" spans="2:21" x14ac:dyDescent="0.25">
      <c r="B73" t="s">
        <v>20</v>
      </c>
      <c r="C73" t="s">
        <v>35</v>
      </c>
      <c r="D73" t="s">
        <v>39</v>
      </c>
      <c r="G73" s="1"/>
      <c r="H73" s="2">
        <f>INDEX($C$15:$H$20,MATCH(G72,$B$15:$B$20,0),MATCH(I72,$C$14:$H$14,0))</f>
        <v>698.05802051118928</v>
      </c>
      <c r="I73" s="2"/>
      <c r="J73" s="2">
        <f>INDEX($C$15:$H$20,MATCH(I72,$B$15:$B$20,0),MATCH(K72,$C$14:$H$14,0))</f>
        <v>650.00076923031406</v>
      </c>
      <c r="K73" s="2"/>
      <c r="L73" s="2">
        <f>INDEX($C$15:$H$20,MATCH(K72,$B$15:$B$20,0),MATCH(M72,$C$14:$H$14,0))</f>
        <v>647.07418430965083</v>
      </c>
      <c r="M73" s="2"/>
      <c r="N73" s="2">
        <f>INDEX($C$15:$H$20,MATCH(M72,$B$15:$B$20,0),MATCH(O72,$C$14:$H$14,0))</f>
        <v>309.09060160412514</v>
      </c>
      <c r="O73" s="2"/>
      <c r="P73" s="2">
        <f>INDEX($C$15:$H$20,MATCH(O72,$B$15:$B$20,0),MATCH(Q72,$C$14:$H$14,0))</f>
        <v>639.79137224567194</v>
      </c>
      <c r="Q73" s="2"/>
      <c r="R73" s="2">
        <f>INDEX($C$15:$H$20,MATCH(Q72,$B$15:$B$20,0),MATCH(S72,$C$14:$H$14,0))</f>
        <v>200.80089641234176</v>
      </c>
      <c r="T73" s="6">
        <f>SUM(H73:R73)</f>
        <v>3144.8158443132929</v>
      </c>
      <c r="U73" s="6"/>
    </row>
    <row r="75" spans="2:21" x14ac:dyDescent="0.25">
      <c r="B75" t="s">
        <v>19</v>
      </c>
      <c r="C75" t="s">
        <v>23</v>
      </c>
      <c r="D75" t="s">
        <v>24</v>
      </c>
      <c r="G75" s="1">
        <v>4</v>
      </c>
      <c r="H75" s="1" t="s">
        <v>8</v>
      </c>
      <c r="I75" s="1">
        <v>3</v>
      </c>
      <c r="J75" s="1" t="s">
        <v>8</v>
      </c>
      <c r="K75" s="1">
        <v>1</v>
      </c>
      <c r="L75" s="1" t="s">
        <v>8</v>
      </c>
      <c r="M75" s="1">
        <v>2</v>
      </c>
      <c r="N75" s="1" t="s">
        <v>8</v>
      </c>
      <c r="O75" s="1">
        <v>6</v>
      </c>
      <c r="P75" s="1" t="s">
        <v>8</v>
      </c>
      <c r="Q75" s="1">
        <v>5</v>
      </c>
      <c r="R75" s="1" t="s">
        <v>8</v>
      </c>
      <c r="S75" s="1">
        <v>4</v>
      </c>
    </row>
    <row r="76" spans="2:21" x14ac:dyDescent="0.25">
      <c r="B76" t="s">
        <v>20</v>
      </c>
      <c r="C76" t="s">
        <v>17</v>
      </c>
      <c r="D76" t="s">
        <v>25</v>
      </c>
      <c r="G76" s="1"/>
      <c r="H76" s="2">
        <f>INDEX($C$15:$H$20,MATCH(G75,$B$15:$B$20,0),MATCH(I75,$C$14:$H$14,0))</f>
        <v>607.16801628544306</v>
      </c>
      <c r="I76" s="2"/>
      <c r="J76" s="2">
        <f>INDEX($C$15:$H$20,MATCH(I75,$B$15:$B$20,0),MATCH(K75,$C$14:$H$14,0))</f>
        <v>348.76066291942959</v>
      </c>
      <c r="K76" s="2"/>
      <c r="L76" s="2">
        <f>INDEX($C$15:$H$20,MATCH(K75,$B$15:$B$20,0),MATCH(M75,$C$14:$H$14,0))</f>
        <v>650.00076923031406</v>
      </c>
      <c r="M76" s="2"/>
      <c r="N76" s="2">
        <f>INDEX($C$15:$H$20,MATCH(M75,$B$15:$B$20,0),MATCH(O75,$C$14:$H$14,0))</f>
        <v>784.04081526410346</v>
      </c>
      <c r="O76" s="2"/>
      <c r="P76" s="2">
        <f>INDEX($C$15:$H$20,MATCH(O75,$B$15:$B$20,0),MATCH(Q75,$C$14:$H$14,0))</f>
        <v>639.79137224567194</v>
      </c>
      <c r="Q76" s="2"/>
      <c r="R76" s="2">
        <f>INDEX($C$15:$H$20,MATCH(Q75,$B$15:$B$20,0),MATCH(S75,$C$14:$H$14,0))</f>
        <v>200.80089641234176</v>
      </c>
      <c r="T76" s="6">
        <f>SUM(H76:R76)</f>
        <v>3230.562532357304</v>
      </c>
      <c r="U76" s="6"/>
    </row>
    <row r="77" spans="2:21" x14ac:dyDescent="0.25"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Q77" s="5"/>
      <c r="R77" s="5"/>
    </row>
    <row r="78" spans="2:21" x14ac:dyDescent="0.25">
      <c r="B78" t="s">
        <v>19</v>
      </c>
      <c r="C78" t="s">
        <v>23</v>
      </c>
      <c r="D78" t="s">
        <v>44</v>
      </c>
      <c r="G78" s="1">
        <v>4</v>
      </c>
      <c r="H78" s="1" t="s">
        <v>8</v>
      </c>
      <c r="I78" s="1">
        <v>6</v>
      </c>
      <c r="J78" s="1" t="s">
        <v>8</v>
      </c>
      <c r="K78" s="1">
        <v>1</v>
      </c>
      <c r="L78" s="1" t="s">
        <v>8</v>
      </c>
      <c r="M78" s="1">
        <v>3</v>
      </c>
      <c r="N78" s="1" t="s">
        <v>8</v>
      </c>
      <c r="O78" s="1">
        <v>2</v>
      </c>
      <c r="P78" s="1" t="s">
        <v>8</v>
      </c>
      <c r="Q78" s="1">
        <v>5</v>
      </c>
      <c r="R78" s="1" t="s">
        <v>8</v>
      </c>
      <c r="S78" s="1">
        <v>4</v>
      </c>
    </row>
    <row r="79" spans="2:21" x14ac:dyDescent="0.25">
      <c r="B79" t="s">
        <v>20</v>
      </c>
      <c r="C79" t="s">
        <v>31</v>
      </c>
      <c r="D79" t="s">
        <v>26</v>
      </c>
      <c r="G79" s="1"/>
      <c r="H79" s="2">
        <f>INDEX($C$15:$H$20,MATCH(G78,$B$15:$B$20,0),MATCH(I78,$C$14:$H$14,0))</f>
        <v>680.44838158379071</v>
      </c>
      <c r="I79" s="2"/>
      <c r="J79" s="2">
        <f>INDEX($C$15:$H$20,MATCH(I78,$B$15:$B$20,0),MATCH(K78,$C$14:$H$14,0))</f>
        <v>657.8426863620208</v>
      </c>
      <c r="K79" s="2"/>
      <c r="L79" s="2">
        <f>INDEX($C$15:$H$20,MATCH(K78,$B$15:$B$20,0),MATCH(M78,$C$14:$H$14,0))</f>
        <v>348.76066291942959</v>
      </c>
      <c r="M79" s="2"/>
      <c r="N79" s="2">
        <f>INDEX($C$15:$H$20,MATCH(M78,$B$15:$B$20,0),MATCH(O78,$C$14:$H$14,0))</f>
        <v>647.07418430965083</v>
      </c>
      <c r="O79" s="2"/>
      <c r="P79" s="2">
        <f>INDEX($C$15:$H$20,MATCH(O78,$B$15:$B$20,0),MATCH(Q78,$C$14:$H$14,0))</f>
        <v>168.15766411317682</v>
      </c>
      <c r="Q79" s="2"/>
      <c r="R79" s="2">
        <f>INDEX($C$15:$H$20,MATCH(Q78,$B$15:$B$20,0),MATCH(S78,$C$14:$H$14,0))</f>
        <v>200.80089641234176</v>
      </c>
      <c r="T79" s="6">
        <f>SUM(H79:R79)</f>
        <v>2703.0844757004106</v>
      </c>
      <c r="U79" s="6"/>
    </row>
    <row r="81" spans="2:22" x14ac:dyDescent="0.25">
      <c r="B81" t="s">
        <v>19</v>
      </c>
      <c r="C81" t="s">
        <v>23</v>
      </c>
      <c r="D81" t="s">
        <v>36</v>
      </c>
      <c r="G81" s="1">
        <v>4</v>
      </c>
      <c r="H81" s="1" t="s">
        <v>8</v>
      </c>
      <c r="I81" s="1">
        <v>5</v>
      </c>
      <c r="J81" s="1" t="s">
        <v>8</v>
      </c>
      <c r="K81" s="1">
        <v>1</v>
      </c>
      <c r="L81" s="1" t="s">
        <v>8</v>
      </c>
      <c r="M81" s="1">
        <v>3</v>
      </c>
      <c r="N81" s="1" t="s">
        <v>8</v>
      </c>
      <c r="O81" s="1">
        <v>6</v>
      </c>
      <c r="P81" s="1" t="s">
        <v>8</v>
      </c>
      <c r="Q81" s="1">
        <v>2</v>
      </c>
      <c r="R81" s="1" t="s">
        <v>8</v>
      </c>
      <c r="S81" s="1">
        <v>4</v>
      </c>
    </row>
    <row r="82" spans="2:22" x14ac:dyDescent="0.25">
      <c r="B82" t="s">
        <v>20</v>
      </c>
      <c r="C82" t="s">
        <v>38</v>
      </c>
      <c r="D82" t="s">
        <v>21</v>
      </c>
      <c r="G82" s="1"/>
      <c r="H82" s="2">
        <f>INDEX($C$15:$H$20,MATCH(G81,$B$15:$B$20,0),MATCH(I81,$C$14:$H$14,0))</f>
        <v>200.80089641234176</v>
      </c>
      <c r="I82" s="2"/>
      <c r="J82" s="2">
        <f>INDEX($C$15:$H$20,MATCH(I81,$B$15:$B$20,0),MATCH(K81,$C$14:$H$14,0))</f>
        <v>504.31141172890386</v>
      </c>
      <c r="K82" s="2"/>
      <c r="L82" s="2">
        <f>INDEX($C$15:$H$20,MATCH(K81,$B$15:$B$20,0),MATCH(M81,$C$14:$H$14,0))</f>
        <v>348.76066291942959</v>
      </c>
      <c r="M82" s="2"/>
      <c r="N82" s="2">
        <f>INDEX($C$15:$H$20,MATCH(M81,$B$15:$B$20,0),MATCH(O81,$C$14:$H$14,0))</f>
        <v>309.09060160412514</v>
      </c>
      <c r="O82" s="2"/>
      <c r="P82" s="2">
        <f>INDEX($C$15:$H$20,MATCH(O81,$B$15:$B$20,0),MATCH(Q81,$C$14:$H$14,0))</f>
        <v>784.04081526410346</v>
      </c>
      <c r="Q82" s="2"/>
      <c r="R82" s="2">
        <f>INDEX($C$15:$H$20,MATCH(Q81,$B$15:$B$20,0),MATCH(S81,$C$14:$H$14,0))</f>
        <v>165.55965692160635</v>
      </c>
      <c r="T82" s="4">
        <f>SUM(H82:R82)</f>
        <v>2312.5640448505105</v>
      </c>
      <c r="U82" s="4"/>
      <c r="V82" t="s">
        <v>43</v>
      </c>
    </row>
    <row r="84" spans="2:22" x14ac:dyDescent="0.25">
      <c r="B84" t="s">
        <v>19</v>
      </c>
      <c r="C84" t="s">
        <v>32</v>
      </c>
      <c r="D84" t="s">
        <v>24</v>
      </c>
      <c r="G84" s="1">
        <v>4</v>
      </c>
      <c r="H84" s="1" t="s">
        <v>8</v>
      </c>
      <c r="I84" s="1">
        <v>2</v>
      </c>
      <c r="J84" s="1" t="s">
        <v>8</v>
      </c>
      <c r="K84" s="1">
        <v>3</v>
      </c>
      <c r="L84" s="1" t="s">
        <v>8</v>
      </c>
      <c r="M84" s="1">
        <v>1</v>
      </c>
      <c r="N84" s="1" t="s">
        <v>8</v>
      </c>
      <c r="O84" s="1">
        <v>6</v>
      </c>
      <c r="P84" s="1" t="s">
        <v>8</v>
      </c>
      <c r="Q84" s="1">
        <v>5</v>
      </c>
      <c r="R84" s="1" t="s">
        <v>8</v>
      </c>
      <c r="S84" s="1">
        <v>4</v>
      </c>
    </row>
    <row r="85" spans="2:22" x14ac:dyDescent="0.25">
      <c r="B85" t="s">
        <v>20</v>
      </c>
      <c r="C85" t="s">
        <v>39</v>
      </c>
      <c r="D85" t="s">
        <v>48</v>
      </c>
      <c r="G85" s="1"/>
      <c r="H85" s="2">
        <f>INDEX($C$15:$H$20,MATCH(G84,$B$15:$B$20,0),MATCH(I84,$C$14:$H$14,0))</f>
        <v>165.55965692160635</v>
      </c>
      <c r="I85" s="2"/>
      <c r="J85" s="2">
        <f>INDEX($C$15:$H$20,MATCH(I84,$B$15:$B$20,0),MATCH(K84,$C$14:$H$14,0))</f>
        <v>647.07418430965083</v>
      </c>
      <c r="K85" s="2"/>
      <c r="L85" s="2">
        <f>INDEX($C$15:$H$20,MATCH(K84,$B$15:$B$20,0),MATCH(M84,$C$14:$H$14,0))</f>
        <v>348.76066291942959</v>
      </c>
      <c r="M85" s="2"/>
      <c r="N85" s="2">
        <f>INDEX($C$15:$H$20,MATCH(M84,$B$15:$B$20,0),MATCH(O84,$C$14:$H$14,0))</f>
        <v>657.8426863620208</v>
      </c>
      <c r="O85" s="2"/>
      <c r="P85" s="2">
        <f>INDEX($C$15:$H$20,MATCH(O84,$B$15:$B$20,0),MATCH(Q84,$C$14:$H$14,0))</f>
        <v>639.79137224567194</v>
      </c>
      <c r="Q85" s="2"/>
      <c r="R85" s="2">
        <f>INDEX($C$15:$H$20,MATCH(Q84,$B$15:$B$20,0),MATCH(S84,$C$14:$H$14,0))</f>
        <v>200.80089641234176</v>
      </c>
      <c r="T85" s="6">
        <f>SUM(H85:R85)</f>
        <v>2659.8294591707213</v>
      </c>
      <c r="U85" s="6"/>
    </row>
    <row r="86" spans="2:22" x14ac:dyDescent="0.25"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Q86" s="5"/>
      <c r="R86" s="5"/>
    </row>
    <row r="87" spans="2:22" x14ac:dyDescent="0.25">
      <c r="B87" t="s">
        <v>19</v>
      </c>
      <c r="C87" t="s">
        <v>32</v>
      </c>
      <c r="D87" t="s">
        <v>44</v>
      </c>
      <c r="G87" s="1">
        <v>4</v>
      </c>
      <c r="H87" s="1" t="s">
        <v>8</v>
      </c>
      <c r="I87" s="1">
        <v>2</v>
      </c>
      <c r="J87" s="1" t="s">
        <v>8</v>
      </c>
      <c r="K87" s="1">
        <v>6</v>
      </c>
      <c r="L87" s="1" t="s">
        <v>8</v>
      </c>
      <c r="M87" s="1">
        <v>3</v>
      </c>
      <c r="N87" s="1" t="s">
        <v>8</v>
      </c>
      <c r="O87" s="1">
        <v>1</v>
      </c>
      <c r="P87" s="1" t="s">
        <v>8</v>
      </c>
      <c r="Q87" s="1">
        <v>5</v>
      </c>
      <c r="R87" s="1" t="s">
        <v>8</v>
      </c>
      <c r="S87" s="1">
        <v>4</v>
      </c>
    </row>
    <row r="88" spans="2:22" x14ac:dyDescent="0.25">
      <c r="B88" t="s">
        <v>20</v>
      </c>
      <c r="C88" t="s">
        <v>25</v>
      </c>
      <c r="D88" t="s">
        <v>41</v>
      </c>
      <c r="G88" s="1"/>
      <c r="H88" s="2">
        <f>INDEX($C$15:$H$20,MATCH(G87,$B$15:$B$20,0),MATCH(I87,$C$14:$H$14,0))</f>
        <v>165.55965692160635</v>
      </c>
      <c r="I88" s="2"/>
      <c r="J88" s="2">
        <f>INDEX($C$15:$H$20,MATCH(I87,$B$15:$B$20,0),MATCH(K87,$C$14:$H$14,0))</f>
        <v>784.04081526410346</v>
      </c>
      <c r="K88" s="2"/>
      <c r="L88" s="2">
        <f>INDEX($C$15:$H$20,MATCH(K87,$B$15:$B$20,0),MATCH(M87,$C$14:$H$14,0))</f>
        <v>309.09060160412514</v>
      </c>
      <c r="M88" s="2"/>
      <c r="N88" s="2">
        <f>INDEX($C$15:$H$20,MATCH(M87,$B$15:$B$20,0),MATCH(O87,$C$14:$H$14,0))</f>
        <v>348.76066291942959</v>
      </c>
      <c r="O88" s="2"/>
      <c r="P88" s="2">
        <f>INDEX($C$15:$H$20,MATCH(O87,$B$15:$B$20,0),MATCH(Q87,$C$14:$H$14,0))</f>
        <v>504.31141172890386</v>
      </c>
      <c r="Q88" s="2"/>
      <c r="R88" s="2">
        <f>INDEX($C$15:$H$20,MATCH(Q87,$B$15:$B$20,0),MATCH(S87,$C$14:$H$14,0))</f>
        <v>200.80089641234176</v>
      </c>
      <c r="T88" s="6">
        <f>SUM(H88:R88)</f>
        <v>2312.5640448505101</v>
      </c>
      <c r="U88" s="6"/>
    </row>
    <row r="90" spans="2:22" x14ac:dyDescent="0.25">
      <c r="B90" t="s">
        <v>19</v>
      </c>
      <c r="C90" t="s">
        <v>32</v>
      </c>
      <c r="D90" t="s">
        <v>36</v>
      </c>
      <c r="G90" s="1">
        <v>4</v>
      </c>
      <c r="H90" s="1" t="s">
        <v>8</v>
      </c>
      <c r="I90" s="1">
        <v>2</v>
      </c>
      <c r="J90" s="1" t="s">
        <v>8</v>
      </c>
      <c r="K90" s="1">
        <v>5</v>
      </c>
      <c r="L90" s="1" t="s">
        <v>8</v>
      </c>
      <c r="M90" s="1">
        <v>3</v>
      </c>
      <c r="N90" s="1" t="s">
        <v>8</v>
      </c>
      <c r="O90" s="1">
        <v>6</v>
      </c>
      <c r="P90" s="1" t="s">
        <v>8</v>
      </c>
      <c r="Q90" s="1">
        <v>1</v>
      </c>
      <c r="R90" s="1" t="s">
        <v>8</v>
      </c>
      <c r="S90" s="1">
        <v>4</v>
      </c>
      <c r="V90" t="s">
        <v>50</v>
      </c>
    </row>
    <row r="91" spans="2:22" x14ac:dyDescent="0.25">
      <c r="B91" t="s">
        <v>20</v>
      </c>
      <c r="C91" t="s">
        <v>26</v>
      </c>
      <c r="D91" t="s">
        <v>29</v>
      </c>
      <c r="G91" s="1"/>
      <c r="H91" s="2">
        <f>INDEX($C$15:$H$20,MATCH(G90,$B$15:$B$20,0),MATCH(I90,$C$14:$H$14,0))</f>
        <v>165.55965692160635</v>
      </c>
      <c r="I91" s="2"/>
      <c r="J91" s="2">
        <f>INDEX($C$15:$H$20,MATCH(I90,$B$15:$B$20,0),MATCH(K90,$C$14:$H$14,0))</f>
        <v>168.15766411317682</v>
      </c>
      <c r="K91" s="2"/>
      <c r="L91" s="2">
        <f>INDEX($C$15:$H$20,MATCH(K90,$B$15:$B$20,0),MATCH(M90,$C$14:$H$14,0))</f>
        <v>479.84164054404448</v>
      </c>
      <c r="M91" s="2"/>
      <c r="N91" s="2">
        <f>INDEX($C$15:$H$20,MATCH(M90,$B$15:$B$20,0),MATCH(O90,$C$14:$H$14,0))</f>
        <v>309.09060160412514</v>
      </c>
      <c r="O91" s="2"/>
      <c r="P91" s="2">
        <f>INDEX($C$15:$H$20,MATCH(O90,$B$15:$B$20,0),MATCH(Q90,$C$14:$H$14,0))</f>
        <v>657.8426863620208</v>
      </c>
      <c r="Q91" s="2"/>
      <c r="R91" s="2">
        <f>INDEX($C$15:$H$20,MATCH(Q90,$B$15:$B$20,0),MATCH(S90,$C$14:$H$14,0))</f>
        <v>698.05802051118928</v>
      </c>
      <c r="T91" s="6">
        <f>SUM(H91:R91)</f>
        <v>2478.5502700561628</v>
      </c>
      <c r="U91" s="6"/>
    </row>
    <row r="93" spans="2:22" x14ac:dyDescent="0.25">
      <c r="B93" t="s">
        <v>19</v>
      </c>
      <c r="C93" t="s">
        <v>42</v>
      </c>
      <c r="D93" t="s">
        <v>44</v>
      </c>
      <c r="G93" s="1">
        <v>4</v>
      </c>
      <c r="H93" s="1" t="s">
        <v>8</v>
      </c>
      <c r="I93" s="1">
        <v>2</v>
      </c>
      <c r="J93" s="1" t="s">
        <v>8</v>
      </c>
      <c r="K93" s="1">
        <v>1</v>
      </c>
      <c r="L93" s="1" t="s">
        <v>8</v>
      </c>
      <c r="M93" s="1">
        <v>6</v>
      </c>
      <c r="N93" s="1" t="s">
        <v>8</v>
      </c>
      <c r="O93" s="1">
        <v>3</v>
      </c>
      <c r="P93" s="1" t="s">
        <v>8</v>
      </c>
      <c r="Q93" s="1">
        <v>5</v>
      </c>
      <c r="R93" s="1" t="s">
        <v>8</v>
      </c>
      <c r="S93" s="1">
        <v>4</v>
      </c>
    </row>
    <row r="94" spans="2:22" x14ac:dyDescent="0.25">
      <c r="B94" t="s">
        <v>20</v>
      </c>
      <c r="C94" t="s">
        <v>48</v>
      </c>
      <c r="D94" t="s">
        <v>49</v>
      </c>
      <c r="G94" s="1"/>
      <c r="H94" s="2">
        <f>INDEX($C$15:$H$20,MATCH(G93,$B$15:$B$20,0),MATCH(I93,$C$14:$H$14,0))</f>
        <v>165.55965692160635</v>
      </c>
      <c r="I94" s="2"/>
      <c r="J94" s="2">
        <f>INDEX($C$15:$H$20,MATCH(I93,$B$15:$B$20,0),MATCH(K93,$C$14:$H$14,0))</f>
        <v>650.00076923031406</v>
      </c>
      <c r="K94" s="2"/>
      <c r="L94" s="2">
        <f>INDEX($C$15:$H$20,MATCH(K93,$B$15:$B$20,0),MATCH(M93,$C$14:$H$14,0))</f>
        <v>657.8426863620208</v>
      </c>
      <c r="M94" s="2"/>
      <c r="N94" s="2">
        <f>INDEX($C$15:$H$20,MATCH(M93,$B$15:$B$20,0),MATCH(O93,$C$14:$H$14,0))</f>
        <v>309.09060160412514</v>
      </c>
      <c r="O94" s="2"/>
      <c r="P94" s="2">
        <f>INDEX($C$15:$H$20,MATCH(O93,$B$15:$B$20,0),MATCH(Q93,$C$14:$H$14,0))</f>
        <v>479.84164054404448</v>
      </c>
      <c r="Q94" s="2"/>
      <c r="R94" s="2">
        <f>INDEX($C$15:$H$20,MATCH(Q93,$B$15:$B$20,0),MATCH(S93,$C$14:$H$14,0))</f>
        <v>200.80089641234176</v>
      </c>
      <c r="T94" s="6">
        <f>SUM(H94:R94)</f>
        <v>2463.136251074453</v>
      </c>
      <c r="U94" s="6"/>
    </row>
    <row r="95" spans="2:22" x14ac:dyDescent="0.25"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Q95" s="5"/>
      <c r="R95" s="5"/>
    </row>
    <row r="96" spans="2:22" x14ac:dyDescent="0.25">
      <c r="B96" t="s">
        <v>19</v>
      </c>
      <c r="C96" t="s">
        <v>42</v>
      </c>
      <c r="D96" t="s">
        <v>36</v>
      </c>
      <c r="G96" s="1">
        <v>4</v>
      </c>
      <c r="H96" s="1" t="s">
        <v>8</v>
      </c>
      <c r="I96" s="1">
        <v>2</v>
      </c>
      <c r="J96" s="1" t="s">
        <v>8</v>
      </c>
      <c r="K96" s="1">
        <v>1</v>
      </c>
      <c r="L96" s="1" t="s">
        <v>8</v>
      </c>
      <c r="M96" s="1">
        <v>5</v>
      </c>
      <c r="N96" s="1" t="s">
        <v>8</v>
      </c>
      <c r="O96" s="1">
        <v>6</v>
      </c>
      <c r="P96" s="1" t="s">
        <v>8</v>
      </c>
      <c r="Q96" s="1">
        <v>3</v>
      </c>
      <c r="R96" s="1" t="s">
        <v>8</v>
      </c>
      <c r="S96" s="1">
        <v>4</v>
      </c>
    </row>
    <row r="97" spans="2:22" x14ac:dyDescent="0.25">
      <c r="B97" t="s">
        <v>20</v>
      </c>
      <c r="C97" t="s">
        <v>41</v>
      </c>
      <c r="D97" t="s">
        <v>30</v>
      </c>
      <c r="G97" s="1"/>
      <c r="H97" s="2">
        <f>INDEX($C$15:$H$20,MATCH(G96,$B$15:$B$20,0),MATCH(I96,$C$14:$H$14,0))</f>
        <v>165.55965692160635</v>
      </c>
      <c r="I97" s="2"/>
      <c r="J97" s="2">
        <f>INDEX($C$15:$H$20,MATCH(I96,$B$15:$B$20,0),MATCH(K96,$C$14:$H$14,0))</f>
        <v>650.00076923031406</v>
      </c>
      <c r="K97" s="2"/>
      <c r="L97" s="2">
        <f>INDEX($C$15:$H$20,MATCH(K96,$B$15:$B$20,0),MATCH(M96,$C$14:$H$14,0))</f>
        <v>504.31141172890386</v>
      </c>
      <c r="M97" s="2"/>
      <c r="N97" s="2">
        <f>INDEX($C$15:$H$20,MATCH(M96,$B$15:$B$20,0),MATCH(O96,$C$14:$H$14,0))</f>
        <v>639.79137224567194</v>
      </c>
      <c r="O97" s="2"/>
      <c r="P97" s="2">
        <f>INDEX($C$15:$H$20,MATCH(O96,$B$15:$B$20,0),MATCH(Q96,$C$14:$H$14,0))</f>
        <v>309.09060160412514</v>
      </c>
      <c r="Q97" s="2"/>
      <c r="R97" s="2">
        <f>INDEX($C$15:$H$20,MATCH(Q96,$B$15:$B$20,0),MATCH(S96,$C$14:$H$14,0))</f>
        <v>607.16801628544306</v>
      </c>
      <c r="T97" s="6">
        <f>SUM(H97:R97)</f>
        <v>2875.9218280160644</v>
      </c>
      <c r="U97" s="6"/>
    </row>
    <row r="99" spans="2:22" x14ac:dyDescent="0.25">
      <c r="B99" t="s">
        <v>45</v>
      </c>
    </row>
    <row r="100" spans="2:22" x14ac:dyDescent="0.25">
      <c r="B100" t="s">
        <v>6</v>
      </c>
      <c r="D100" s="1">
        <v>4</v>
      </c>
      <c r="E100" s="1" t="s">
        <v>8</v>
      </c>
      <c r="F100" s="1">
        <v>5</v>
      </c>
      <c r="G100" s="1" t="s">
        <v>8</v>
      </c>
      <c r="H100" s="1">
        <v>1</v>
      </c>
      <c r="I100" s="1" t="s">
        <v>8</v>
      </c>
      <c r="J100" s="1">
        <v>3</v>
      </c>
      <c r="K100" s="1" t="s">
        <v>8</v>
      </c>
      <c r="L100" s="1">
        <v>6</v>
      </c>
      <c r="M100" s="1" t="s">
        <v>8</v>
      </c>
      <c r="N100" s="1">
        <v>2</v>
      </c>
      <c r="O100" s="1" t="s">
        <v>8</v>
      </c>
      <c r="P100" s="1">
        <v>4</v>
      </c>
      <c r="T100" s="6"/>
      <c r="U100" s="6"/>
    </row>
    <row r="101" spans="2:22" x14ac:dyDescent="0.25">
      <c r="B101" t="s">
        <v>7</v>
      </c>
      <c r="D101" s="1"/>
      <c r="E101" s="2">
        <f>INDEX($C$15:$H$20,MATCH(D100,$B$15:$B$20,0),MATCH(F100,$C$14:$H$14,0))</f>
        <v>200.80089641234176</v>
      </c>
      <c r="F101" s="2"/>
      <c r="G101" s="2">
        <f>INDEX($C$15:$H$20,MATCH(F100,$B$15:$B$20,0),MATCH(H100,$C$14:$H$14,0))</f>
        <v>504.31141172890386</v>
      </c>
      <c r="H101" s="2"/>
      <c r="I101" s="2">
        <f>INDEX($C$15:$H$20,MATCH(H100,$B$15:$B$20,0),MATCH(J100,$C$14:$H$14,0))</f>
        <v>348.76066291942959</v>
      </c>
      <c r="J101" s="2"/>
      <c r="K101" s="2">
        <f>INDEX($C$15:$H$20,MATCH(J100,$B$15:$B$20,0),MATCH(L100,$C$14:$H$14,0))</f>
        <v>309.09060160412514</v>
      </c>
      <c r="L101" s="2"/>
      <c r="M101" s="2">
        <f>INDEX($C$15:$H$20,MATCH(L100,$B$15:$B$20,0),MATCH(N100,$C$14:$H$14,0))</f>
        <v>784.04081526410346</v>
      </c>
      <c r="N101" s="2"/>
      <c r="O101" s="2">
        <f>INDEX($C$15:$H$20,MATCH(N100,$B$15:$B$20,0),MATCH(P100,$C$14:$H$14,0))</f>
        <v>165.55965692160635</v>
      </c>
      <c r="Q101" s="5">
        <f>SUM(E101:O101)</f>
        <v>2312.5640448505105</v>
      </c>
      <c r="R101" s="5"/>
      <c r="S101" t="s">
        <v>9</v>
      </c>
    </row>
    <row r="103" spans="2:22" x14ac:dyDescent="0.25">
      <c r="B103" t="s">
        <v>15</v>
      </c>
      <c r="G103" t="s">
        <v>16</v>
      </c>
      <c r="I103" t="s">
        <v>18</v>
      </c>
    </row>
    <row r="104" spans="2:22" x14ac:dyDescent="0.25">
      <c r="B104" t="s">
        <v>19</v>
      </c>
      <c r="C104" t="s">
        <v>23</v>
      </c>
      <c r="D104" t="s">
        <v>36</v>
      </c>
      <c r="G104" t="s">
        <v>38</v>
      </c>
      <c r="I104">
        <v>2</v>
      </c>
    </row>
    <row r="105" spans="2:22" x14ac:dyDescent="0.25">
      <c r="B105" t="s">
        <v>20</v>
      </c>
      <c r="C105" t="s">
        <v>38</v>
      </c>
      <c r="D105" t="s">
        <v>21</v>
      </c>
      <c r="G105" t="s">
        <v>21</v>
      </c>
      <c r="I105">
        <v>2</v>
      </c>
    </row>
    <row r="106" spans="2:22" x14ac:dyDescent="0.25">
      <c r="G106" t="s">
        <v>32</v>
      </c>
      <c r="I106">
        <v>1</v>
      </c>
    </row>
    <row r="107" spans="2:22" x14ac:dyDescent="0.25">
      <c r="G107" t="s">
        <v>36</v>
      </c>
      <c r="I107">
        <v>1</v>
      </c>
    </row>
    <row r="109" spans="2:22" x14ac:dyDescent="0.25">
      <c r="B109" t="s">
        <v>51</v>
      </c>
    </row>
    <row r="110" spans="2:22" x14ac:dyDescent="0.25">
      <c r="B110" t="s">
        <v>19</v>
      </c>
      <c r="C110" t="s">
        <v>38</v>
      </c>
      <c r="D110" t="s">
        <v>42</v>
      </c>
      <c r="G110" s="1">
        <v>4</v>
      </c>
      <c r="H110" s="1" t="s">
        <v>8</v>
      </c>
      <c r="I110" s="1">
        <v>1</v>
      </c>
      <c r="J110" s="1" t="s">
        <v>8</v>
      </c>
      <c r="K110" s="1">
        <v>5</v>
      </c>
      <c r="L110" s="1" t="s">
        <v>8</v>
      </c>
      <c r="M110" s="1">
        <v>3</v>
      </c>
      <c r="N110" s="1" t="s">
        <v>8</v>
      </c>
      <c r="O110" s="1">
        <v>6</v>
      </c>
      <c r="P110" s="1" t="s">
        <v>8</v>
      </c>
      <c r="Q110" s="1">
        <v>2</v>
      </c>
      <c r="R110" s="1" t="s">
        <v>8</v>
      </c>
      <c r="S110" s="1">
        <v>4</v>
      </c>
      <c r="V110" t="s">
        <v>50</v>
      </c>
    </row>
    <row r="111" spans="2:22" x14ac:dyDescent="0.25">
      <c r="B111" t="s">
        <v>20</v>
      </c>
      <c r="C111" t="s">
        <v>35</v>
      </c>
      <c r="D111" t="s">
        <v>22</v>
      </c>
      <c r="G111" s="1"/>
      <c r="H111" s="2">
        <f>INDEX($C$15:$H$20,MATCH(G110,$B$15:$B$20,0),MATCH(I110,$C$14:$H$14,0))</f>
        <v>698.05802051118928</v>
      </c>
      <c r="I111" s="2"/>
      <c r="J111" s="2">
        <f>INDEX($C$15:$H$20,MATCH(I110,$B$15:$B$20,0),MATCH(K110,$C$14:$H$14,0))</f>
        <v>504.31141172890386</v>
      </c>
      <c r="K111" s="2"/>
      <c r="L111" s="2">
        <f>INDEX($C$15:$H$20,MATCH(K110,$B$15:$B$20,0),MATCH(M110,$C$14:$H$14,0))</f>
        <v>479.84164054404448</v>
      </c>
      <c r="M111" s="2"/>
      <c r="N111" s="2">
        <f>INDEX($C$15:$H$20,MATCH(M110,$B$15:$B$20,0),MATCH(O110,$C$14:$H$14,0))</f>
        <v>309.09060160412514</v>
      </c>
      <c r="O111" s="2"/>
      <c r="P111" s="2">
        <f>INDEX($C$15:$H$20,MATCH(O110,$B$15:$B$20,0),MATCH(Q110,$C$14:$H$14,0))</f>
        <v>784.04081526410346</v>
      </c>
      <c r="Q111" s="2"/>
      <c r="R111" s="2">
        <f>INDEX($C$15:$H$20,MATCH(Q110,$B$15:$B$20,0),MATCH(S110,$C$14:$H$14,0))</f>
        <v>165.55965692160635</v>
      </c>
      <c r="T111" s="6">
        <f>SUM(H111:R111)</f>
        <v>2940.9021465739729</v>
      </c>
      <c r="U111" s="6"/>
    </row>
    <row r="113" spans="2:22" x14ac:dyDescent="0.25">
      <c r="B113" t="s">
        <v>19</v>
      </c>
      <c r="C113" t="s">
        <v>38</v>
      </c>
      <c r="D113" t="s">
        <v>24</v>
      </c>
      <c r="G113" s="1">
        <v>4</v>
      </c>
      <c r="H113" s="1" t="s">
        <v>8</v>
      </c>
      <c r="I113" s="1">
        <v>3</v>
      </c>
      <c r="J113" s="1" t="s">
        <v>8</v>
      </c>
      <c r="K113" s="1">
        <v>1</v>
      </c>
      <c r="L113" s="1" t="s">
        <v>8</v>
      </c>
      <c r="M113" s="1">
        <v>5</v>
      </c>
      <c r="N113" s="1" t="s">
        <v>8</v>
      </c>
      <c r="O113" s="1">
        <v>6</v>
      </c>
      <c r="P113" s="1" t="s">
        <v>8</v>
      </c>
      <c r="Q113" s="1">
        <v>2</v>
      </c>
      <c r="R113" s="1" t="s">
        <v>8</v>
      </c>
      <c r="S113" s="1">
        <v>4</v>
      </c>
      <c r="V113" t="s">
        <v>50</v>
      </c>
    </row>
    <row r="114" spans="2:22" x14ac:dyDescent="0.25">
      <c r="B114" t="s">
        <v>20</v>
      </c>
      <c r="C114" t="s">
        <v>17</v>
      </c>
      <c r="D114" t="s">
        <v>33</v>
      </c>
      <c r="G114" s="1"/>
      <c r="H114" s="2">
        <f>INDEX($C$15:$H$20,MATCH(G113,$B$15:$B$20,0),MATCH(I113,$C$14:$H$14,0))</f>
        <v>607.16801628544306</v>
      </c>
      <c r="I114" s="2"/>
      <c r="J114" s="2">
        <f>INDEX($C$15:$H$20,MATCH(I113,$B$15:$B$20,0),MATCH(K113,$C$14:$H$14,0))</f>
        <v>348.76066291942959</v>
      </c>
      <c r="K114" s="2"/>
      <c r="L114" s="2">
        <f>INDEX($C$15:$H$20,MATCH(K113,$B$15:$B$20,0),MATCH(M113,$C$14:$H$14,0))</f>
        <v>504.31141172890386</v>
      </c>
      <c r="M114" s="2"/>
      <c r="N114" s="2">
        <f>INDEX($C$15:$H$20,MATCH(M113,$B$15:$B$20,0),MATCH(O113,$C$14:$H$14,0))</f>
        <v>639.79137224567194</v>
      </c>
      <c r="O114" s="2"/>
      <c r="P114" s="2">
        <f>INDEX($C$15:$H$20,MATCH(O113,$B$15:$B$20,0),MATCH(Q113,$C$14:$H$14,0))</f>
        <v>784.04081526410346</v>
      </c>
      <c r="Q114" s="2"/>
      <c r="R114" s="2">
        <f>INDEX($C$15:$H$20,MATCH(Q113,$B$15:$B$20,0),MATCH(S113,$C$14:$H$14,0))</f>
        <v>165.55965692160635</v>
      </c>
      <c r="T114" s="6">
        <f>SUM(H114:R114)</f>
        <v>3049.6319353651584</v>
      </c>
      <c r="U114" s="6"/>
    </row>
    <row r="115" spans="2:22" x14ac:dyDescent="0.25"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Q115" s="5"/>
      <c r="R115" s="5"/>
    </row>
    <row r="116" spans="2:22" x14ac:dyDescent="0.25">
      <c r="B116" t="s">
        <v>19</v>
      </c>
      <c r="C116" t="s">
        <v>38</v>
      </c>
      <c r="D116" t="s">
        <v>52</v>
      </c>
      <c r="G116" s="1">
        <v>4</v>
      </c>
      <c r="H116" s="1" t="s">
        <v>8</v>
      </c>
      <c r="I116" s="1">
        <v>6</v>
      </c>
      <c r="J116" s="1" t="s">
        <v>8</v>
      </c>
      <c r="K116" s="1">
        <v>1</v>
      </c>
      <c r="L116" s="1" t="s">
        <v>8</v>
      </c>
      <c r="M116" s="1">
        <v>3</v>
      </c>
      <c r="N116" s="1" t="s">
        <v>8</v>
      </c>
      <c r="O116" s="1">
        <v>5</v>
      </c>
      <c r="P116" s="1" t="s">
        <v>8</v>
      </c>
      <c r="Q116" s="1">
        <v>2</v>
      </c>
      <c r="R116" s="1" t="s">
        <v>8</v>
      </c>
      <c r="S116" s="1">
        <v>4</v>
      </c>
      <c r="V116" t="s">
        <v>50</v>
      </c>
    </row>
    <row r="117" spans="2:22" x14ac:dyDescent="0.25">
      <c r="B117" t="s">
        <v>20</v>
      </c>
      <c r="C117" t="s">
        <v>31</v>
      </c>
      <c r="D117" t="s">
        <v>47</v>
      </c>
      <c r="G117" s="1"/>
      <c r="H117" s="2">
        <f>INDEX($C$15:$H$20,MATCH(G116,$B$15:$B$20,0),MATCH(I116,$C$14:$H$14,0))</f>
        <v>680.44838158379071</v>
      </c>
      <c r="I117" s="2"/>
      <c r="J117" s="2">
        <f>INDEX($C$15:$H$20,MATCH(I116,$B$15:$B$20,0),MATCH(K116,$C$14:$H$14,0))</f>
        <v>657.8426863620208</v>
      </c>
      <c r="K117" s="2"/>
      <c r="L117" s="2">
        <f>INDEX($C$15:$H$20,MATCH(K116,$B$15:$B$20,0),MATCH(M116,$C$14:$H$14,0))</f>
        <v>348.76066291942959</v>
      </c>
      <c r="M117" s="2"/>
      <c r="N117" s="2">
        <f>INDEX($C$15:$H$20,MATCH(M116,$B$15:$B$20,0),MATCH(O116,$C$14:$H$14,0))</f>
        <v>479.84164054404448</v>
      </c>
      <c r="O117" s="2"/>
      <c r="P117" s="2">
        <f>INDEX($C$15:$H$20,MATCH(O116,$B$15:$B$20,0),MATCH(Q116,$C$14:$H$14,0))</f>
        <v>168.15766411317682</v>
      </c>
      <c r="Q117" s="2"/>
      <c r="R117" s="2">
        <f>INDEX($C$15:$H$20,MATCH(Q116,$B$15:$B$20,0),MATCH(S116,$C$14:$H$14,0))</f>
        <v>165.55965692160635</v>
      </c>
      <c r="T117" s="6">
        <f>SUM(H117:R117)</f>
        <v>2500.6106924440687</v>
      </c>
      <c r="U117" s="6"/>
    </row>
    <row r="119" spans="2:22" x14ac:dyDescent="0.25">
      <c r="B119" t="s">
        <v>19</v>
      </c>
      <c r="C119" t="s">
        <v>38</v>
      </c>
      <c r="D119" t="s">
        <v>21</v>
      </c>
      <c r="G119" s="1">
        <v>4</v>
      </c>
      <c r="H119" s="1" t="s">
        <v>8</v>
      </c>
      <c r="I119" s="1">
        <v>2</v>
      </c>
      <c r="J119" s="1" t="s">
        <v>8</v>
      </c>
      <c r="K119" s="1">
        <v>1</v>
      </c>
      <c r="L119" s="1" t="s">
        <v>8</v>
      </c>
      <c r="M119" s="1">
        <v>3</v>
      </c>
      <c r="N119" s="1" t="s">
        <v>8</v>
      </c>
      <c r="O119" s="1">
        <v>6</v>
      </c>
      <c r="P119" s="1" t="s">
        <v>8</v>
      </c>
      <c r="Q119" s="1">
        <v>5</v>
      </c>
      <c r="R119" s="1" t="s">
        <v>8</v>
      </c>
      <c r="S119" s="1">
        <v>4</v>
      </c>
      <c r="V119" t="s">
        <v>50</v>
      </c>
    </row>
    <row r="120" spans="2:22" x14ac:dyDescent="0.25">
      <c r="B120" t="s">
        <v>20</v>
      </c>
      <c r="C120" t="s">
        <v>23</v>
      </c>
      <c r="D120" t="s">
        <v>36</v>
      </c>
      <c r="G120" s="1"/>
      <c r="H120" s="2">
        <f>INDEX($C$15:$H$20,MATCH(G119,$B$15:$B$20,0),MATCH(I119,$C$14:$H$14,0))</f>
        <v>165.55965692160635</v>
      </c>
      <c r="I120" s="2"/>
      <c r="J120" s="2">
        <f>INDEX($C$15:$H$20,MATCH(I119,$B$15:$B$20,0),MATCH(K119,$C$14:$H$14,0))</f>
        <v>650.00076923031406</v>
      </c>
      <c r="K120" s="2"/>
      <c r="L120" s="2">
        <f>INDEX($C$15:$H$20,MATCH(K119,$B$15:$B$20,0),MATCH(M119,$C$14:$H$14,0))</f>
        <v>348.76066291942959</v>
      </c>
      <c r="M120" s="2"/>
      <c r="N120" s="2">
        <f>INDEX($C$15:$H$20,MATCH(M119,$B$15:$B$20,0),MATCH(O119,$C$14:$H$14,0))</f>
        <v>309.09060160412514</v>
      </c>
      <c r="O120" s="2"/>
      <c r="P120" s="2">
        <f>INDEX($C$15:$H$20,MATCH(O119,$B$15:$B$20,0),MATCH(Q119,$C$14:$H$14,0))</f>
        <v>639.79137224567194</v>
      </c>
      <c r="Q120" s="2"/>
      <c r="R120" s="2">
        <f>INDEX($C$15:$H$20,MATCH(Q119,$B$15:$B$20,0),MATCH(S119,$C$14:$H$14,0))</f>
        <v>200.80089641234176</v>
      </c>
      <c r="T120" s="6">
        <f>SUM(H120:R120)</f>
        <v>2314.0039593334886</v>
      </c>
      <c r="U120" s="6"/>
    </row>
    <row r="122" spans="2:22" x14ac:dyDescent="0.25">
      <c r="B122" t="s">
        <v>19</v>
      </c>
      <c r="C122" t="s">
        <v>28</v>
      </c>
      <c r="D122" t="s">
        <v>24</v>
      </c>
      <c r="G122" s="1">
        <v>4</v>
      </c>
      <c r="H122" s="1" t="s">
        <v>8</v>
      </c>
      <c r="I122" s="1">
        <v>5</v>
      </c>
      <c r="J122" s="1" t="s">
        <v>8</v>
      </c>
      <c r="K122" s="1">
        <v>3</v>
      </c>
      <c r="L122" s="1" t="s">
        <v>8</v>
      </c>
      <c r="M122" s="1">
        <v>1</v>
      </c>
      <c r="N122" s="1" t="s">
        <v>8</v>
      </c>
      <c r="O122" s="1">
        <v>6</v>
      </c>
      <c r="P122" s="1" t="s">
        <v>8</v>
      </c>
      <c r="Q122" s="1">
        <v>2</v>
      </c>
      <c r="R122" s="1" t="s">
        <v>8</v>
      </c>
      <c r="S122" s="1">
        <v>4</v>
      </c>
    </row>
    <row r="123" spans="2:22" x14ac:dyDescent="0.25">
      <c r="B123" t="s">
        <v>20</v>
      </c>
      <c r="C123" t="s">
        <v>22</v>
      </c>
      <c r="D123" t="s">
        <v>48</v>
      </c>
      <c r="G123" s="1"/>
      <c r="H123" s="2">
        <f>INDEX($C$15:$H$20,MATCH(G122,$B$15:$B$20,0),MATCH(I122,$C$14:$H$14,0))</f>
        <v>200.80089641234176</v>
      </c>
      <c r="I123" s="2"/>
      <c r="J123" s="2">
        <f>INDEX($C$15:$H$20,MATCH(I122,$B$15:$B$20,0),MATCH(K122,$C$14:$H$14,0))</f>
        <v>479.84164054404448</v>
      </c>
      <c r="K123" s="2"/>
      <c r="L123" s="2">
        <f>INDEX($C$15:$H$20,MATCH(K122,$B$15:$B$20,0),MATCH(M122,$C$14:$H$14,0))</f>
        <v>348.76066291942959</v>
      </c>
      <c r="M123" s="2"/>
      <c r="N123" s="2">
        <f>INDEX($C$15:$H$20,MATCH(M122,$B$15:$B$20,0),MATCH(O122,$C$14:$H$14,0))</f>
        <v>657.8426863620208</v>
      </c>
      <c r="O123" s="2"/>
      <c r="P123" s="2">
        <f>INDEX($C$15:$H$20,MATCH(O122,$B$15:$B$20,0),MATCH(Q122,$C$14:$H$14,0))</f>
        <v>784.04081526410346</v>
      </c>
      <c r="Q123" s="2"/>
      <c r="R123" s="2">
        <f>INDEX($C$15:$H$20,MATCH(Q122,$B$15:$B$20,0),MATCH(S122,$C$14:$H$14,0))</f>
        <v>165.55965692160635</v>
      </c>
      <c r="T123" s="6">
        <f>SUM(H123:R123)</f>
        <v>2636.8463584235465</v>
      </c>
      <c r="U123" s="6"/>
    </row>
    <row r="124" spans="2:22" x14ac:dyDescent="0.25"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Q124" s="5"/>
      <c r="R124" s="5"/>
    </row>
    <row r="125" spans="2:22" x14ac:dyDescent="0.25">
      <c r="B125" t="s">
        <v>19</v>
      </c>
      <c r="C125" t="s">
        <v>28</v>
      </c>
      <c r="D125" t="s">
        <v>52</v>
      </c>
      <c r="G125" s="1">
        <v>4</v>
      </c>
      <c r="H125" s="1" t="s">
        <v>8</v>
      </c>
      <c r="I125" s="1">
        <v>5</v>
      </c>
      <c r="J125" s="1" t="s">
        <v>8</v>
      </c>
      <c r="K125" s="1">
        <v>6</v>
      </c>
      <c r="L125" s="1" t="s">
        <v>8</v>
      </c>
      <c r="M125" s="1">
        <v>3</v>
      </c>
      <c r="N125" s="1" t="s">
        <v>8</v>
      </c>
      <c r="O125" s="1">
        <v>1</v>
      </c>
      <c r="P125" s="1" t="s">
        <v>8</v>
      </c>
      <c r="Q125" s="1">
        <v>2</v>
      </c>
      <c r="R125" s="1" t="s">
        <v>8</v>
      </c>
      <c r="S125" s="1">
        <v>4</v>
      </c>
    </row>
    <row r="126" spans="2:22" x14ac:dyDescent="0.25">
      <c r="B126" t="s">
        <v>20</v>
      </c>
      <c r="C126" t="s">
        <v>33</v>
      </c>
      <c r="D126" t="s">
        <v>37</v>
      </c>
      <c r="G126" s="1"/>
      <c r="H126" s="2">
        <f>INDEX($C$15:$H$20,MATCH(G125,$B$15:$B$20,0),MATCH(I125,$C$14:$H$14,0))</f>
        <v>200.80089641234176</v>
      </c>
      <c r="I126" s="2"/>
      <c r="J126" s="2">
        <f>INDEX($C$15:$H$20,MATCH(I125,$B$15:$B$20,0),MATCH(K125,$C$14:$H$14,0))</f>
        <v>639.79137224567194</v>
      </c>
      <c r="K126" s="2"/>
      <c r="L126" s="2">
        <f>INDEX($C$15:$H$20,MATCH(K125,$B$15:$B$20,0),MATCH(M125,$C$14:$H$14,0))</f>
        <v>309.09060160412514</v>
      </c>
      <c r="M126" s="2"/>
      <c r="N126" s="2">
        <f>INDEX($C$15:$H$20,MATCH(M125,$B$15:$B$20,0),MATCH(O125,$C$14:$H$14,0))</f>
        <v>348.76066291942959</v>
      </c>
      <c r="O126" s="2"/>
      <c r="P126" s="2">
        <f>INDEX($C$15:$H$20,MATCH(O125,$B$15:$B$20,0),MATCH(Q125,$C$14:$H$14,0))</f>
        <v>650.00076923031406</v>
      </c>
      <c r="Q126" s="2"/>
      <c r="R126" s="2">
        <f>INDEX($C$15:$H$20,MATCH(Q125,$B$15:$B$20,0),MATCH(S125,$C$14:$H$14,0))</f>
        <v>165.55965692160635</v>
      </c>
      <c r="T126" s="4">
        <f>SUM(H126:R126)</f>
        <v>2314.0039593334891</v>
      </c>
      <c r="U126" s="4"/>
      <c r="V126" t="s">
        <v>43</v>
      </c>
    </row>
    <row r="128" spans="2:22" x14ac:dyDescent="0.25">
      <c r="B128" t="s">
        <v>19</v>
      </c>
      <c r="C128" t="s">
        <v>28</v>
      </c>
      <c r="D128" t="s">
        <v>21</v>
      </c>
      <c r="G128" s="1">
        <v>4</v>
      </c>
      <c r="H128" s="1" t="s">
        <v>8</v>
      </c>
      <c r="I128" s="1">
        <v>5</v>
      </c>
      <c r="J128" s="1" t="s">
        <v>8</v>
      </c>
      <c r="K128" s="1">
        <v>2</v>
      </c>
      <c r="L128" s="1" t="s">
        <v>8</v>
      </c>
      <c r="M128" s="1">
        <v>3</v>
      </c>
      <c r="N128" s="1" t="s">
        <v>8</v>
      </c>
      <c r="O128" s="1">
        <v>6</v>
      </c>
      <c r="P128" s="1" t="s">
        <v>8</v>
      </c>
      <c r="Q128" s="1">
        <v>1</v>
      </c>
      <c r="R128" s="1" t="s">
        <v>8</v>
      </c>
      <c r="S128" s="1">
        <v>4</v>
      </c>
      <c r="V128" t="s">
        <v>50</v>
      </c>
    </row>
    <row r="129" spans="2:22" x14ac:dyDescent="0.25">
      <c r="B129" t="s">
        <v>20</v>
      </c>
      <c r="C129" t="s">
        <v>47</v>
      </c>
      <c r="D129" t="s">
        <v>29</v>
      </c>
      <c r="G129" s="1"/>
      <c r="H129" s="2">
        <f>INDEX($C$15:$H$20,MATCH(G128,$B$15:$B$20,0),MATCH(I128,$C$14:$H$14,0))</f>
        <v>200.80089641234176</v>
      </c>
      <c r="I129" s="2"/>
      <c r="J129" s="2">
        <f>INDEX($C$15:$H$20,MATCH(I128,$B$15:$B$20,0),MATCH(K128,$C$14:$H$14,0))</f>
        <v>168.15766411317682</v>
      </c>
      <c r="K129" s="2"/>
      <c r="L129" s="2">
        <f>INDEX($C$15:$H$20,MATCH(K128,$B$15:$B$20,0),MATCH(M128,$C$14:$H$14,0))</f>
        <v>647.07418430965083</v>
      </c>
      <c r="M129" s="2"/>
      <c r="N129" s="2">
        <f>INDEX($C$15:$H$20,MATCH(M128,$B$15:$B$20,0),MATCH(O128,$C$14:$H$14,0))</f>
        <v>309.09060160412514</v>
      </c>
      <c r="O129" s="2"/>
      <c r="P129" s="2">
        <f>INDEX($C$15:$H$20,MATCH(O128,$B$15:$B$20,0),MATCH(Q128,$C$14:$H$14,0))</f>
        <v>657.8426863620208</v>
      </c>
      <c r="Q129" s="2"/>
      <c r="R129" s="2">
        <f>INDEX($C$15:$H$20,MATCH(Q128,$B$15:$B$20,0),MATCH(S128,$C$14:$H$14,0))</f>
        <v>698.05802051118928</v>
      </c>
      <c r="T129" s="6">
        <f>SUM(H129:R129)</f>
        <v>2681.0240533125043</v>
      </c>
      <c r="U129" s="6"/>
    </row>
    <row r="131" spans="2:22" x14ac:dyDescent="0.25">
      <c r="B131" t="s">
        <v>19</v>
      </c>
      <c r="C131" t="s">
        <v>42</v>
      </c>
      <c r="D131" t="s">
        <v>52</v>
      </c>
      <c r="G131" s="1">
        <v>4</v>
      </c>
      <c r="H131" s="1" t="s">
        <v>8</v>
      </c>
      <c r="I131" s="1">
        <v>5</v>
      </c>
      <c r="J131" s="1" t="s">
        <v>8</v>
      </c>
      <c r="K131" s="1">
        <v>1</v>
      </c>
      <c r="L131" s="1" t="s">
        <v>8</v>
      </c>
      <c r="M131" s="1">
        <v>6</v>
      </c>
      <c r="N131" s="1" t="s">
        <v>8</v>
      </c>
      <c r="O131" s="1">
        <v>3</v>
      </c>
      <c r="P131" s="1" t="s">
        <v>8</v>
      </c>
      <c r="Q131" s="1">
        <v>2</v>
      </c>
      <c r="R131" s="1" t="s">
        <v>8</v>
      </c>
      <c r="S131" s="1">
        <v>4</v>
      </c>
    </row>
    <row r="132" spans="2:22" x14ac:dyDescent="0.25">
      <c r="B132" t="s">
        <v>20</v>
      </c>
      <c r="C132" t="s">
        <v>48</v>
      </c>
      <c r="D132" t="s">
        <v>53</v>
      </c>
      <c r="G132" s="1"/>
      <c r="H132" s="2">
        <f>INDEX($C$15:$H$20,MATCH(G131,$B$15:$B$20,0),MATCH(I131,$C$14:$H$14,0))</f>
        <v>200.80089641234176</v>
      </c>
      <c r="I132" s="2"/>
      <c r="J132" s="2">
        <f>INDEX($C$15:$H$20,MATCH(I131,$B$15:$B$20,0),MATCH(K131,$C$14:$H$14,0))</f>
        <v>504.31141172890386</v>
      </c>
      <c r="K132" s="2"/>
      <c r="L132" s="2">
        <f>INDEX($C$15:$H$20,MATCH(K131,$B$15:$B$20,0),MATCH(M131,$C$14:$H$14,0))</f>
        <v>657.8426863620208</v>
      </c>
      <c r="M132" s="2"/>
      <c r="N132" s="2">
        <f>INDEX($C$15:$H$20,MATCH(M131,$B$15:$B$20,0),MATCH(O131,$C$14:$H$14,0))</f>
        <v>309.09060160412514</v>
      </c>
      <c r="O132" s="2"/>
      <c r="P132" s="2">
        <f>INDEX($C$15:$H$20,MATCH(O131,$B$15:$B$20,0),MATCH(Q131,$C$14:$H$14,0))</f>
        <v>647.07418430965083</v>
      </c>
      <c r="Q132" s="2"/>
      <c r="R132" s="2">
        <f>INDEX($C$15:$H$20,MATCH(Q131,$B$15:$B$20,0),MATCH(S131,$C$14:$H$14,0))</f>
        <v>165.55965692160635</v>
      </c>
      <c r="T132" s="6">
        <f>SUM(H132:R132)</f>
        <v>2484.6794373386488</v>
      </c>
      <c r="U132" s="6"/>
    </row>
    <row r="133" spans="2:22" x14ac:dyDescent="0.25"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Q133" s="5"/>
      <c r="R133" s="5"/>
    </row>
    <row r="134" spans="2:22" x14ac:dyDescent="0.25">
      <c r="B134" t="s">
        <v>19</v>
      </c>
      <c r="C134" t="s">
        <v>42</v>
      </c>
      <c r="D134" t="s">
        <v>21</v>
      </c>
      <c r="G134" s="1">
        <v>4</v>
      </c>
      <c r="H134" s="1" t="s">
        <v>8</v>
      </c>
      <c r="I134" s="1">
        <v>5</v>
      </c>
      <c r="J134" s="1" t="s">
        <v>8</v>
      </c>
      <c r="K134" s="1">
        <v>1</v>
      </c>
      <c r="L134" s="1" t="s">
        <v>8</v>
      </c>
      <c r="M134" s="1">
        <v>2</v>
      </c>
      <c r="N134" s="1" t="s">
        <v>8</v>
      </c>
      <c r="O134" s="1">
        <v>6</v>
      </c>
      <c r="P134" s="1" t="s">
        <v>8</v>
      </c>
      <c r="Q134" s="1">
        <v>3</v>
      </c>
      <c r="R134" s="1" t="s">
        <v>8</v>
      </c>
      <c r="S134" s="1">
        <v>4</v>
      </c>
      <c r="V134" t="s">
        <v>50</v>
      </c>
    </row>
    <row r="135" spans="2:22" x14ac:dyDescent="0.25">
      <c r="B135" t="s">
        <v>20</v>
      </c>
      <c r="C135" t="s">
        <v>37</v>
      </c>
      <c r="D135" t="s">
        <v>30</v>
      </c>
      <c r="G135" s="1"/>
      <c r="H135" s="2">
        <f>INDEX($C$15:$H$20,MATCH(G134,$B$15:$B$20,0),MATCH(I134,$C$14:$H$14,0))</f>
        <v>200.80089641234176</v>
      </c>
      <c r="I135" s="2"/>
      <c r="J135" s="2">
        <f>INDEX($C$15:$H$20,MATCH(I134,$B$15:$B$20,0),MATCH(K134,$C$14:$H$14,0))</f>
        <v>504.31141172890386</v>
      </c>
      <c r="K135" s="2"/>
      <c r="L135" s="2">
        <f>INDEX($C$15:$H$20,MATCH(K134,$B$15:$B$20,0),MATCH(M134,$C$14:$H$14,0))</f>
        <v>650.00076923031406</v>
      </c>
      <c r="M135" s="2"/>
      <c r="N135" s="2">
        <f>INDEX($C$15:$H$20,MATCH(M134,$B$15:$B$20,0),MATCH(O134,$C$14:$H$14,0))</f>
        <v>784.04081526410346</v>
      </c>
      <c r="O135" s="2"/>
      <c r="P135" s="2">
        <f>INDEX($C$15:$H$20,MATCH(O134,$B$15:$B$20,0),MATCH(Q134,$C$14:$H$14,0))</f>
        <v>309.09060160412514</v>
      </c>
      <c r="Q135" s="2"/>
      <c r="R135" s="2">
        <f>INDEX($C$15:$H$20,MATCH(Q134,$B$15:$B$20,0),MATCH(S134,$C$14:$H$14,0))</f>
        <v>607.16801628544306</v>
      </c>
      <c r="T135" s="6">
        <f>SUM(H135:R135)</f>
        <v>3055.4125105252319</v>
      </c>
      <c r="U135" s="6"/>
    </row>
    <row r="137" spans="2:22" x14ac:dyDescent="0.25">
      <c r="B137" t="s">
        <v>45</v>
      </c>
    </row>
    <row r="138" spans="2:22" x14ac:dyDescent="0.25">
      <c r="B138" t="s">
        <v>6</v>
      </c>
      <c r="D138" s="1">
        <v>4</v>
      </c>
      <c r="E138" s="1" t="s">
        <v>8</v>
      </c>
      <c r="F138" s="1">
        <v>5</v>
      </c>
      <c r="G138" s="1" t="s">
        <v>8</v>
      </c>
      <c r="H138" s="1">
        <v>6</v>
      </c>
      <c r="I138" s="1" t="s">
        <v>8</v>
      </c>
      <c r="J138" s="1">
        <v>3</v>
      </c>
      <c r="K138" s="1" t="s">
        <v>8</v>
      </c>
      <c r="L138" s="1">
        <v>1</v>
      </c>
      <c r="M138" s="1" t="s">
        <v>8</v>
      </c>
      <c r="N138" s="1">
        <v>2</v>
      </c>
      <c r="O138" s="1" t="s">
        <v>8</v>
      </c>
      <c r="P138" s="1">
        <v>4</v>
      </c>
      <c r="T138" s="6"/>
      <c r="U138" s="6"/>
    </row>
    <row r="139" spans="2:22" x14ac:dyDescent="0.25">
      <c r="B139" t="s">
        <v>7</v>
      </c>
      <c r="D139" s="1"/>
      <c r="E139" s="2">
        <f>INDEX($C$15:$H$20,MATCH(D138,$B$15:$B$20,0),MATCH(F138,$C$14:$H$14,0))</f>
        <v>200.80089641234176</v>
      </c>
      <c r="F139" s="2"/>
      <c r="G139" s="2">
        <f>INDEX($C$15:$H$20,MATCH(F138,$B$15:$B$20,0),MATCH(H138,$C$14:$H$14,0))</f>
        <v>639.79137224567194</v>
      </c>
      <c r="H139" s="2"/>
      <c r="I139" s="2">
        <f>INDEX($C$15:$H$20,MATCH(H138,$B$15:$B$20,0),MATCH(J138,$C$14:$H$14,0))</f>
        <v>309.09060160412514</v>
      </c>
      <c r="J139" s="2"/>
      <c r="K139" s="2">
        <f>INDEX($C$15:$H$20,MATCH(J138,$B$15:$B$20,0),MATCH(L138,$C$14:$H$14,0))</f>
        <v>348.76066291942959</v>
      </c>
      <c r="L139" s="2"/>
      <c r="M139" s="2">
        <f>INDEX($C$15:$H$20,MATCH(L138,$B$15:$B$20,0),MATCH(N138,$C$14:$H$14,0))</f>
        <v>650.00076923031406</v>
      </c>
      <c r="N139" s="2"/>
      <c r="O139" s="2">
        <f>INDEX($C$15:$H$20,MATCH(N138,$B$15:$B$20,0),MATCH(P138,$C$14:$H$14,0))</f>
        <v>165.55965692160635</v>
      </c>
      <c r="Q139" s="5">
        <f>SUM(E139:O139)</f>
        <v>2314.0039593334891</v>
      </c>
      <c r="R139" s="5"/>
      <c r="S139" t="s">
        <v>9</v>
      </c>
    </row>
    <row r="141" spans="2:22" x14ac:dyDescent="0.25">
      <c r="B141" t="s">
        <v>15</v>
      </c>
      <c r="G141" t="s">
        <v>16</v>
      </c>
      <c r="I141" t="s">
        <v>18</v>
      </c>
    </row>
    <row r="142" spans="2:22" x14ac:dyDescent="0.25">
      <c r="B142" t="s">
        <v>19</v>
      </c>
      <c r="C142" t="s">
        <v>28</v>
      </c>
      <c r="D142" t="s">
        <v>52</v>
      </c>
      <c r="G142" t="s">
        <v>33</v>
      </c>
      <c r="I142">
        <v>2</v>
      </c>
    </row>
    <row r="143" spans="2:22" x14ac:dyDescent="0.25">
      <c r="B143" t="s">
        <v>20</v>
      </c>
      <c r="C143" t="s">
        <v>33</v>
      </c>
      <c r="D143" t="s">
        <v>37</v>
      </c>
      <c r="G143" t="s">
        <v>37</v>
      </c>
      <c r="I143">
        <v>2</v>
      </c>
    </row>
    <row r="144" spans="2:22" x14ac:dyDescent="0.25">
      <c r="G144" t="s">
        <v>38</v>
      </c>
      <c r="I144">
        <v>1</v>
      </c>
    </row>
    <row r="145" spans="2:18" x14ac:dyDescent="0.25">
      <c r="G145" t="s">
        <v>21</v>
      </c>
      <c r="I145">
        <v>1</v>
      </c>
    </row>
    <row r="148" spans="2:18" x14ac:dyDescent="0.25">
      <c r="B148" t="s">
        <v>54</v>
      </c>
    </row>
    <row r="149" spans="2:18" x14ac:dyDescent="0.25">
      <c r="B149" t="s">
        <v>55</v>
      </c>
    </row>
    <row r="152" spans="2:18" x14ac:dyDescent="0.25">
      <c r="B152" t="s">
        <v>56</v>
      </c>
    </row>
    <row r="153" spans="2:18" x14ac:dyDescent="0.25">
      <c r="B153" t="s">
        <v>6</v>
      </c>
      <c r="D153" s="1">
        <v>4</v>
      </c>
      <c r="E153" s="1" t="s">
        <v>8</v>
      </c>
      <c r="F153" s="1">
        <v>2</v>
      </c>
      <c r="G153" s="1" t="s">
        <v>8</v>
      </c>
      <c r="H153" s="1">
        <v>5</v>
      </c>
      <c r="I153" s="1" t="s">
        <v>8</v>
      </c>
      <c r="J153" s="1">
        <v>1</v>
      </c>
      <c r="K153" s="1" t="s">
        <v>8</v>
      </c>
      <c r="L153" s="1">
        <v>3</v>
      </c>
      <c r="M153" s="1" t="s">
        <v>8</v>
      </c>
      <c r="N153" s="1">
        <v>6</v>
      </c>
      <c r="O153" s="1" t="s">
        <v>8</v>
      </c>
      <c r="P153" s="1">
        <v>4</v>
      </c>
    </row>
    <row r="154" spans="2:18" x14ac:dyDescent="0.25">
      <c r="B154" t="s">
        <v>7</v>
      </c>
      <c r="D154" s="1"/>
      <c r="E154" s="2">
        <f>INDEX($C$15:$H$20,MATCH(D153,$B$15:$B$20,0),MATCH(F153,$C$14:$H$14,0))</f>
        <v>165.55965692160635</v>
      </c>
      <c r="F154" s="2"/>
      <c r="G154" s="2">
        <f>INDEX($C$15:$H$20,MATCH(F153,$B$15:$B$20,0),MATCH(H153,$C$14:$H$14,0))</f>
        <v>168.15766411317682</v>
      </c>
      <c r="H154" s="2"/>
      <c r="I154" s="2">
        <f>INDEX($C$15:$H$20,MATCH(H153,$B$15:$B$20,0),MATCH(J153,$C$14:$H$14,0))</f>
        <v>504.31141172890386</v>
      </c>
      <c r="J154" s="2"/>
      <c r="K154" s="2">
        <f>INDEX($C$15:$H$20,MATCH(J153,$B$15:$B$20,0),MATCH(L153,$C$14:$H$14,0))</f>
        <v>348.76066291942959</v>
      </c>
      <c r="L154" s="2"/>
      <c r="M154" s="2">
        <f>INDEX($C$15:$H$20,MATCH(L153,$B$15:$B$20,0),MATCH(N153,$C$14:$H$14,0))</f>
        <v>309.09060160412514</v>
      </c>
      <c r="N154" s="2"/>
      <c r="O154" s="2">
        <f>INDEX($C$15:$H$20,MATCH(N153,$B$15:$B$20,0),MATCH(P153,$C$14:$H$14,0))</f>
        <v>680.44838158379071</v>
      </c>
      <c r="Q154" s="5">
        <f>SUM(E154:O154)</f>
        <v>2176.3283788710323</v>
      </c>
      <c r="R154" s="5"/>
    </row>
  </sheetData>
  <mergeCells count="42">
    <mergeCell ref="T135:U135"/>
    <mergeCell ref="T138:U138"/>
    <mergeCell ref="Q139:R139"/>
    <mergeCell ref="Q154:R154"/>
    <mergeCell ref="Q133:R133"/>
    <mergeCell ref="T123:U123"/>
    <mergeCell ref="T126:U126"/>
    <mergeCell ref="T129:U129"/>
    <mergeCell ref="T132:U132"/>
    <mergeCell ref="T97:U97"/>
    <mergeCell ref="T100:U100"/>
    <mergeCell ref="Q101:R101"/>
    <mergeCell ref="Q115:R115"/>
    <mergeCell ref="Q124:R124"/>
    <mergeCell ref="Q65:R65"/>
    <mergeCell ref="T79:U79"/>
    <mergeCell ref="T82:U82"/>
    <mergeCell ref="T85:U85"/>
    <mergeCell ref="Q86:R86"/>
    <mergeCell ref="T120:U120"/>
    <mergeCell ref="Q77:R77"/>
    <mergeCell ref="T88:U88"/>
    <mergeCell ref="T91:U91"/>
    <mergeCell ref="T94:U94"/>
    <mergeCell ref="Q95:R95"/>
    <mergeCell ref="T111:U111"/>
    <mergeCell ref="T114:U114"/>
    <mergeCell ref="T117:U117"/>
    <mergeCell ref="Q32:R32"/>
    <mergeCell ref="T37:U37"/>
    <mergeCell ref="T40:U40"/>
    <mergeCell ref="T43:U43"/>
    <mergeCell ref="T46:U46"/>
    <mergeCell ref="T49:U49"/>
    <mergeCell ref="Q25:R25"/>
    <mergeCell ref="T73:U73"/>
    <mergeCell ref="T76:U76"/>
    <mergeCell ref="T52:U52"/>
    <mergeCell ref="T55:U55"/>
    <mergeCell ref="T58:U58"/>
    <mergeCell ref="T61:U61"/>
    <mergeCell ref="T64:U6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 Hynn</dc:creator>
  <cp:lastModifiedBy>Rei Hynn</cp:lastModifiedBy>
  <dcterms:created xsi:type="dcterms:W3CDTF">2026-09-03T01:12:12Z</dcterms:created>
  <dcterms:modified xsi:type="dcterms:W3CDTF">2026-10-18T19:47:04Z</dcterms:modified>
</cp:coreProperties>
</file>